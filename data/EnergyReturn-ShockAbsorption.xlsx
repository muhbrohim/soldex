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N\"/>
    </mc:Choice>
  </mc:AlternateContent>
  <xr:revisionPtr revIDLastSave="0" documentId="13_ncr:1_{95F46DCC-C5BF-42F2-9088-3E3BC2B40D44}" xr6:coauthVersionLast="47" xr6:coauthVersionMax="47" xr10:uidLastSave="{00000000-0000-0000-0000-000000000000}"/>
  <bookViews>
    <workbookView xWindow="-110" yWindow="-110" windowWidth="19420" windowHeight="10300" firstSheet="2" activeTab="2" xr2:uid="{6DF00B17-A382-4E66-A425-8A8426418647}"/>
  </bookViews>
  <sheets>
    <sheet name="INTERESTED" sheetId="4" r:id="rId1"/>
    <sheet name="MEGABLAST" sheetId="7" r:id="rId2"/>
    <sheet name="DAILY" sheetId="8" r:id="rId3"/>
    <sheet name="MAXIMALIST" sheetId="9" r:id="rId4"/>
    <sheet name="SUPER" sheetId="12" r:id="rId5"/>
    <sheet name="TOP5TRAINER" sheetId="13" r:id="rId6"/>
    <sheet name="HYPED" sheetId="11" r:id="rId7"/>
    <sheet name="RACERS" sheetId="10" r:id="rId8"/>
    <sheet name="HOKA" sheetId="5" r:id="rId9"/>
    <sheet name="PUMA" sheetId="6" r:id="rId10"/>
    <sheet name="60&gt;HER&gt;55" sheetId="3" r:id="rId11"/>
    <sheet name="70&gt;HER&gt;60" sheetId="2" r:id="rId12"/>
    <sheet name="HER&gt;70" sheetId="1" r:id="rId13"/>
  </sheets>
  <definedNames>
    <definedName name="_xlnm._FilterDatabase" localSheetId="0" hidden="1">INTERESTED!$A$24:$I$29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3" l="1"/>
  <c r="E17" i="13"/>
  <c r="E16" i="13"/>
  <c r="E15" i="13"/>
  <c r="E14" i="13"/>
  <c r="E12" i="13"/>
  <c r="E11" i="13"/>
  <c r="E10" i="13"/>
  <c r="E9" i="13"/>
  <c r="E8" i="13"/>
  <c r="E6" i="13"/>
  <c r="E5" i="13"/>
  <c r="E4" i="13"/>
  <c r="E3" i="13"/>
  <c r="E2" i="13"/>
  <c r="AA16" i="9"/>
  <c r="S16" i="9"/>
  <c r="T16" i="9"/>
  <c r="U16" i="9"/>
  <c r="V16" i="9"/>
  <c r="R16" i="9"/>
  <c r="E16" i="9"/>
  <c r="F16" i="9"/>
  <c r="G16" i="9"/>
  <c r="H16" i="9"/>
  <c r="I16" i="9"/>
  <c r="D16" i="9"/>
  <c r="T16" i="8"/>
  <c r="V16" i="8"/>
  <c r="E16" i="8"/>
  <c r="F16" i="8"/>
  <c r="G16" i="8"/>
  <c r="H16" i="8"/>
  <c r="I16" i="8"/>
  <c r="D16" i="8"/>
  <c r="T16" i="12"/>
  <c r="V16" i="12"/>
  <c r="I16" i="12"/>
  <c r="E16" i="12"/>
  <c r="F16" i="12"/>
  <c r="G16" i="12"/>
  <c r="H16" i="12"/>
  <c r="D16" i="12"/>
  <c r="T15" i="12"/>
  <c r="V15" i="12"/>
  <c r="W15" i="12"/>
  <c r="T14" i="12"/>
  <c r="V14" i="12"/>
  <c r="W14" i="12"/>
  <c r="E15" i="12"/>
  <c r="F15" i="12"/>
  <c r="G15" i="12"/>
  <c r="H15" i="12"/>
  <c r="I15" i="12"/>
  <c r="E14" i="12"/>
  <c r="F14" i="12"/>
  <c r="G14" i="12"/>
  <c r="H14" i="12"/>
  <c r="I14" i="12"/>
  <c r="D15" i="12"/>
  <c r="D14" i="12"/>
  <c r="AH13" i="12"/>
  <c r="AG13" i="12"/>
  <c r="AF13" i="12"/>
  <c r="AA13" i="12"/>
  <c r="U13" i="12"/>
  <c r="S13" i="12"/>
  <c r="R13" i="12"/>
  <c r="L13" i="12"/>
  <c r="AI13" i="12" s="1"/>
  <c r="AH12" i="12"/>
  <c r="AG12" i="12"/>
  <c r="AF12" i="12"/>
  <c r="AA12" i="12"/>
  <c r="S12" i="12"/>
  <c r="R12" i="12"/>
  <c r="L12" i="12"/>
  <c r="AI12" i="12" s="1"/>
  <c r="AH11" i="12"/>
  <c r="AG11" i="12"/>
  <c r="AF11" i="12"/>
  <c r="AA11" i="12"/>
  <c r="S11" i="12"/>
  <c r="R11" i="12"/>
  <c r="L11" i="12"/>
  <c r="AI11" i="12" s="1"/>
  <c r="AH10" i="12"/>
  <c r="AG10" i="12"/>
  <c r="AF10" i="12"/>
  <c r="AA10" i="12"/>
  <c r="U10" i="12"/>
  <c r="S10" i="12"/>
  <c r="R10" i="12"/>
  <c r="L10" i="12"/>
  <c r="AI10" i="12" s="1"/>
  <c r="AG2" i="12"/>
  <c r="AG3" i="12"/>
  <c r="AG4" i="12"/>
  <c r="AF2" i="12"/>
  <c r="AF3" i="12"/>
  <c r="AF4" i="12"/>
  <c r="AG6" i="12"/>
  <c r="AG7" i="12"/>
  <c r="AG8" i="12"/>
  <c r="AG9" i="12"/>
  <c r="AF6" i="12"/>
  <c r="AF7" i="12"/>
  <c r="AF8" i="12"/>
  <c r="AF9" i="12"/>
  <c r="AH6" i="12"/>
  <c r="AH7" i="12"/>
  <c r="AH8" i="12"/>
  <c r="AH9" i="12"/>
  <c r="AH2" i="12"/>
  <c r="AH3" i="12"/>
  <c r="AH4" i="12"/>
  <c r="U9" i="12"/>
  <c r="U8" i="12"/>
  <c r="U7" i="12"/>
  <c r="U6" i="12"/>
  <c r="AA6" i="12"/>
  <c r="AA7" i="12"/>
  <c r="AA8" i="12"/>
  <c r="AA9" i="12"/>
  <c r="AA2" i="12"/>
  <c r="AA3" i="12"/>
  <c r="AA4" i="12"/>
  <c r="S6" i="12"/>
  <c r="S7" i="12"/>
  <c r="S8" i="12"/>
  <c r="S9" i="12"/>
  <c r="S2" i="12"/>
  <c r="S3" i="12"/>
  <c r="S4" i="12"/>
  <c r="R6" i="12"/>
  <c r="R7" i="12"/>
  <c r="R8" i="12"/>
  <c r="R9" i="12"/>
  <c r="R2" i="12"/>
  <c r="R3" i="12"/>
  <c r="R4" i="12"/>
  <c r="L6" i="12"/>
  <c r="AI6" i="12" s="1"/>
  <c r="L7" i="12"/>
  <c r="AI7" i="12" s="1"/>
  <c r="L8" i="12"/>
  <c r="AI8" i="12" s="1"/>
  <c r="L9" i="12"/>
  <c r="AI9" i="12" s="1"/>
  <c r="L2" i="12"/>
  <c r="AI2" i="12" s="1"/>
  <c r="L3" i="12"/>
  <c r="AI3" i="12" s="1"/>
  <c r="L4" i="12"/>
  <c r="AI4" i="12" s="1"/>
  <c r="L5" i="12"/>
  <c r="AI5" i="12" s="1"/>
  <c r="AH5" i="12"/>
  <c r="AG5" i="12"/>
  <c r="AF5" i="12"/>
  <c r="AA5" i="12"/>
  <c r="S5" i="12"/>
  <c r="R5" i="12"/>
  <c r="AJ7" i="11"/>
  <c r="AI7" i="11"/>
  <c r="AH7" i="11"/>
  <c r="AD7" i="11"/>
  <c r="X7" i="11"/>
  <c r="V7" i="11"/>
  <c r="U7" i="11"/>
  <c r="L7" i="11"/>
  <c r="AK7" i="11" s="1"/>
  <c r="AJ3" i="11"/>
  <c r="AI3" i="11"/>
  <c r="AH3" i="11"/>
  <c r="AD3" i="11"/>
  <c r="V3" i="11"/>
  <c r="U3" i="11"/>
  <c r="L3" i="11"/>
  <c r="AK3" i="11" s="1"/>
  <c r="AJ4" i="11"/>
  <c r="AI4" i="11"/>
  <c r="AH4" i="11"/>
  <c r="AD4" i="11"/>
  <c r="V4" i="11"/>
  <c r="U4" i="11"/>
  <c r="L4" i="11"/>
  <c r="AK4" i="11" s="1"/>
  <c r="AJ8" i="11"/>
  <c r="AI8" i="11"/>
  <c r="AH8" i="11"/>
  <c r="AD8" i="11"/>
  <c r="V8" i="11"/>
  <c r="U8" i="11"/>
  <c r="L8" i="11"/>
  <c r="AK8" i="11" s="1"/>
  <c r="AJ2" i="11"/>
  <c r="AI2" i="11"/>
  <c r="AH2" i="11"/>
  <c r="AD2" i="11"/>
  <c r="V2" i="11"/>
  <c r="U2" i="11"/>
  <c r="L2" i="11"/>
  <c r="AK2" i="11" s="1"/>
  <c r="U14" i="10"/>
  <c r="S14" i="10"/>
  <c r="R14" i="10"/>
  <c r="AA14" i="10"/>
  <c r="L14" i="10"/>
  <c r="U13" i="10"/>
  <c r="U12" i="10"/>
  <c r="S12" i="10"/>
  <c r="S13" i="10"/>
  <c r="S11" i="10"/>
  <c r="R12" i="10"/>
  <c r="R13" i="10"/>
  <c r="AA13" i="10"/>
  <c r="L13" i="10"/>
  <c r="AA12" i="10"/>
  <c r="L12" i="10"/>
  <c r="U11" i="10"/>
  <c r="U10" i="10"/>
  <c r="S10" i="10"/>
  <c r="S3" i="10"/>
  <c r="R10" i="10"/>
  <c r="R11" i="10"/>
  <c r="R3" i="10"/>
  <c r="R4" i="10"/>
  <c r="R5" i="10"/>
  <c r="R6" i="10"/>
  <c r="R7" i="10"/>
  <c r="R8" i="10"/>
  <c r="R9" i="10"/>
  <c r="AA11" i="10"/>
  <c r="L11" i="10"/>
  <c r="AA10" i="10"/>
  <c r="L10" i="10"/>
  <c r="AA9" i="10"/>
  <c r="S9" i="10"/>
  <c r="L9" i="10"/>
  <c r="AA8" i="10"/>
  <c r="U8" i="10"/>
  <c r="S8" i="10"/>
  <c r="L8" i="10"/>
  <c r="AA7" i="10"/>
  <c r="U7" i="10"/>
  <c r="S7" i="10"/>
  <c r="L7" i="10"/>
  <c r="AA6" i="10"/>
  <c r="U6" i="10"/>
  <c r="S6" i="10"/>
  <c r="L6" i="10"/>
  <c r="AA5" i="10"/>
  <c r="U5" i="10"/>
  <c r="S5" i="10"/>
  <c r="L5" i="10"/>
  <c r="AA4" i="10"/>
  <c r="U4" i="10"/>
  <c r="S4" i="10"/>
  <c r="L4" i="10"/>
  <c r="AA3" i="10"/>
  <c r="U3" i="10"/>
  <c r="L3" i="10"/>
  <c r="AA2" i="10"/>
  <c r="S2" i="10"/>
  <c r="R2" i="10"/>
  <c r="L2" i="10"/>
  <c r="AF3" i="9"/>
  <c r="AG3" i="9"/>
  <c r="AH3" i="9"/>
  <c r="AF4" i="9"/>
  <c r="AG4" i="9"/>
  <c r="AH4" i="9"/>
  <c r="AF5" i="9"/>
  <c r="AG5" i="9"/>
  <c r="AH5" i="9"/>
  <c r="AI5" i="9"/>
  <c r="AF6" i="9"/>
  <c r="AG6" i="9"/>
  <c r="AH6" i="9"/>
  <c r="AI6" i="9"/>
  <c r="AF7" i="9"/>
  <c r="AG7" i="9"/>
  <c r="AH7" i="9"/>
  <c r="AI7" i="9"/>
  <c r="AF8" i="9"/>
  <c r="AG8" i="9"/>
  <c r="AH8" i="9"/>
  <c r="AI8" i="9"/>
  <c r="AF9" i="9"/>
  <c r="AG9" i="9"/>
  <c r="AH9" i="9"/>
  <c r="AI9" i="9"/>
  <c r="AF10" i="9"/>
  <c r="AG10" i="9"/>
  <c r="AH10" i="9"/>
  <c r="AI10" i="9"/>
  <c r="AF11" i="9"/>
  <c r="AG11" i="9"/>
  <c r="AH11" i="9"/>
  <c r="AF12" i="9"/>
  <c r="AG12" i="9"/>
  <c r="AH12" i="9"/>
  <c r="AF13" i="9"/>
  <c r="AG13" i="9"/>
  <c r="AH13" i="9"/>
  <c r="AI13" i="9"/>
  <c r="AF14" i="9"/>
  <c r="AG14" i="9"/>
  <c r="AH14" i="9"/>
  <c r="AF15" i="9"/>
  <c r="AG15" i="9"/>
  <c r="AH15" i="9"/>
  <c r="AI15" i="9"/>
  <c r="AH2" i="9"/>
  <c r="AG2" i="9"/>
  <c r="AF2" i="9"/>
  <c r="AI4" i="8"/>
  <c r="AI8" i="8"/>
  <c r="AI11" i="8"/>
  <c r="AI12" i="8"/>
  <c r="AI13" i="8"/>
  <c r="AI15" i="8"/>
  <c r="AI2" i="8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2" i="8"/>
  <c r="AG3" i="8"/>
  <c r="AG4" i="8"/>
  <c r="AG5" i="8"/>
  <c r="AG6" i="8"/>
  <c r="AG7" i="8"/>
  <c r="AG8" i="8"/>
  <c r="AG9" i="8"/>
  <c r="AG10" i="8"/>
  <c r="AG11" i="8"/>
  <c r="AG12" i="8"/>
  <c r="AG13" i="8"/>
  <c r="AG14" i="8"/>
  <c r="AG15" i="8"/>
  <c r="AG2" i="8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2" i="8"/>
  <c r="R15" i="8"/>
  <c r="S15" i="8"/>
  <c r="AA15" i="8"/>
  <c r="L15" i="8"/>
  <c r="R15" i="9"/>
  <c r="S15" i="9"/>
  <c r="AA15" i="9"/>
  <c r="L15" i="9"/>
  <c r="U14" i="8"/>
  <c r="R14" i="8"/>
  <c r="S14" i="8"/>
  <c r="AA14" i="8"/>
  <c r="L14" i="8"/>
  <c r="AI14" i="8" s="1"/>
  <c r="U14" i="9"/>
  <c r="R14" i="9"/>
  <c r="S14" i="9"/>
  <c r="AA14" i="9"/>
  <c r="L14" i="9"/>
  <c r="AI14" i="9" s="1"/>
  <c r="R13" i="8"/>
  <c r="S13" i="8"/>
  <c r="AA13" i="8"/>
  <c r="L13" i="8"/>
  <c r="AA13" i="9"/>
  <c r="S13" i="9"/>
  <c r="R13" i="9"/>
  <c r="L13" i="9"/>
  <c r="U12" i="9"/>
  <c r="R12" i="9"/>
  <c r="S12" i="9"/>
  <c r="AA12" i="9"/>
  <c r="L12" i="9"/>
  <c r="AI12" i="9" s="1"/>
  <c r="AA11" i="9"/>
  <c r="S11" i="9"/>
  <c r="R11" i="9"/>
  <c r="L11" i="9"/>
  <c r="AI11" i="9" s="1"/>
  <c r="AA12" i="8"/>
  <c r="S12" i="8"/>
  <c r="R12" i="8"/>
  <c r="L12" i="8"/>
  <c r="U11" i="8"/>
  <c r="R11" i="8"/>
  <c r="S11" i="8"/>
  <c r="AA11" i="8"/>
  <c r="L11" i="8"/>
  <c r="U10" i="9"/>
  <c r="R10" i="9"/>
  <c r="S10" i="9"/>
  <c r="AA10" i="9"/>
  <c r="L10" i="9"/>
  <c r="R9" i="9"/>
  <c r="S9" i="9"/>
  <c r="AA9" i="9"/>
  <c r="L9" i="9"/>
  <c r="R10" i="8"/>
  <c r="S10" i="8"/>
  <c r="AA10" i="8"/>
  <c r="L10" i="8"/>
  <c r="AI10" i="8" s="1"/>
  <c r="U9" i="8"/>
  <c r="U16" i="8" s="1"/>
  <c r="R9" i="8"/>
  <c r="R16" i="8" s="1"/>
  <c r="S9" i="8"/>
  <c r="AA9" i="8"/>
  <c r="L9" i="8"/>
  <c r="AI9" i="8" s="1"/>
  <c r="R8" i="8"/>
  <c r="S8" i="8"/>
  <c r="AA8" i="8"/>
  <c r="L8" i="8"/>
  <c r="R8" i="9"/>
  <c r="S8" i="9"/>
  <c r="AA8" i="9"/>
  <c r="L8" i="9"/>
  <c r="R7" i="8"/>
  <c r="S7" i="8"/>
  <c r="AA7" i="8"/>
  <c r="L7" i="8"/>
  <c r="AI7" i="8" s="1"/>
  <c r="U7" i="9"/>
  <c r="R7" i="9"/>
  <c r="S7" i="9"/>
  <c r="AA7" i="9"/>
  <c r="L7" i="9"/>
  <c r="AA5" i="9"/>
  <c r="AA6" i="9"/>
  <c r="U6" i="9"/>
  <c r="U5" i="9"/>
  <c r="S5" i="9"/>
  <c r="S6" i="9"/>
  <c r="R5" i="9"/>
  <c r="R6" i="9"/>
  <c r="L6" i="9"/>
  <c r="L5" i="9"/>
  <c r="AA4" i="9"/>
  <c r="U4" i="9"/>
  <c r="S4" i="9"/>
  <c r="R4" i="9"/>
  <c r="L4" i="9"/>
  <c r="AI4" i="9" s="1"/>
  <c r="AA3" i="9"/>
  <c r="S3" i="9"/>
  <c r="R3" i="9"/>
  <c r="L3" i="9"/>
  <c r="AI3" i="9" s="1"/>
  <c r="AA2" i="9"/>
  <c r="S2" i="9"/>
  <c r="R2" i="9"/>
  <c r="L2" i="9"/>
  <c r="AI2" i="9" s="1"/>
  <c r="R12" i="7"/>
  <c r="S12" i="7"/>
  <c r="AA12" i="7"/>
  <c r="L12" i="7"/>
  <c r="AA11" i="7"/>
  <c r="U11" i="7"/>
  <c r="S11" i="7"/>
  <c r="R11" i="7"/>
  <c r="L11" i="7"/>
  <c r="U10" i="7"/>
  <c r="R10" i="7"/>
  <c r="S10" i="7"/>
  <c r="AA10" i="7"/>
  <c r="L10" i="7"/>
  <c r="U9" i="7"/>
  <c r="R9" i="7"/>
  <c r="S9" i="7"/>
  <c r="AA9" i="7"/>
  <c r="L9" i="7"/>
  <c r="U8" i="7"/>
  <c r="R8" i="7"/>
  <c r="S8" i="7"/>
  <c r="AA8" i="7"/>
  <c r="L8" i="7"/>
  <c r="U7" i="7"/>
  <c r="R7" i="7"/>
  <c r="S7" i="7"/>
  <c r="AA7" i="7"/>
  <c r="L7" i="7"/>
  <c r="AA6" i="8"/>
  <c r="S6" i="8"/>
  <c r="R6" i="8"/>
  <c r="L6" i="8"/>
  <c r="AI6" i="8" s="1"/>
  <c r="AA5" i="8"/>
  <c r="S5" i="8"/>
  <c r="R5" i="8"/>
  <c r="L5" i="8"/>
  <c r="AI5" i="8" s="1"/>
  <c r="AA4" i="8"/>
  <c r="S4" i="8"/>
  <c r="R4" i="8"/>
  <c r="L4" i="8"/>
  <c r="AA3" i="8"/>
  <c r="S3" i="8"/>
  <c r="R3" i="8"/>
  <c r="L3" i="8"/>
  <c r="AI3" i="8" s="1"/>
  <c r="AA2" i="8"/>
  <c r="AA16" i="8" s="1"/>
  <c r="S2" i="8"/>
  <c r="S16" i="8" s="1"/>
  <c r="R2" i="8"/>
  <c r="L2" i="8"/>
  <c r="R33" i="4"/>
  <c r="S33" i="4"/>
  <c r="AA33" i="4"/>
  <c r="L33" i="4"/>
  <c r="AA6" i="7"/>
  <c r="U6" i="7"/>
  <c r="S6" i="7"/>
  <c r="R6" i="7"/>
  <c r="L6" i="7"/>
  <c r="AA5" i="7"/>
  <c r="S5" i="7"/>
  <c r="R5" i="7"/>
  <c r="L5" i="7"/>
  <c r="AA4" i="7"/>
  <c r="S4" i="7"/>
  <c r="R4" i="7"/>
  <c r="L4" i="7"/>
  <c r="AA3" i="7"/>
  <c r="S3" i="7"/>
  <c r="R3" i="7"/>
  <c r="L3" i="7"/>
  <c r="AA2" i="7"/>
  <c r="S2" i="7"/>
  <c r="R2" i="7"/>
  <c r="L2" i="7"/>
  <c r="U41" i="4"/>
  <c r="R41" i="4"/>
  <c r="S41" i="4"/>
  <c r="AA41" i="4"/>
  <c r="L41" i="4"/>
  <c r="U39" i="4"/>
  <c r="U27" i="4"/>
  <c r="R39" i="4"/>
  <c r="S39" i="4"/>
  <c r="R27" i="4"/>
  <c r="S27" i="4"/>
  <c r="AA39" i="4"/>
  <c r="AA27" i="4"/>
  <c r="L39" i="4"/>
  <c r="L27" i="4"/>
  <c r="R38" i="4"/>
  <c r="S38" i="4"/>
  <c r="AA38" i="4"/>
  <c r="L38" i="4"/>
  <c r="U35" i="4"/>
  <c r="U36" i="4"/>
  <c r="U37" i="4"/>
  <c r="U18" i="4"/>
  <c r="U20" i="4"/>
  <c r="R34" i="4"/>
  <c r="R35" i="4"/>
  <c r="S34" i="4"/>
  <c r="S35" i="4"/>
  <c r="S32" i="4"/>
  <c r="R32" i="4"/>
  <c r="S37" i="4"/>
  <c r="S25" i="4"/>
  <c r="S26" i="4"/>
  <c r="S40" i="4"/>
  <c r="S28" i="4"/>
  <c r="S29" i="4"/>
  <c r="S30" i="4"/>
  <c r="S36" i="4"/>
  <c r="S19" i="4"/>
  <c r="S20" i="4"/>
  <c r="S21" i="4"/>
  <c r="S22" i="4"/>
  <c r="S18" i="4"/>
  <c r="R37" i="4"/>
  <c r="R25" i="4"/>
  <c r="R26" i="4"/>
  <c r="R40" i="4"/>
  <c r="R28" i="4"/>
  <c r="R29" i="4"/>
  <c r="R30" i="4"/>
  <c r="R36" i="4"/>
  <c r="R18" i="4"/>
  <c r="R20" i="4"/>
  <c r="R21" i="4"/>
  <c r="R22" i="4"/>
  <c r="R19" i="4"/>
  <c r="AA34" i="4"/>
  <c r="AA35" i="4"/>
  <c r="AA32" i="4"/>
  <c r="AA37" i="4"/>
  <c r="AA25" i="4"/>
  <c r="AA26" i="4"/>
  <c r="AA40" i="4"/>
  <c r="AA28" i="4"/>
  <c r="AA29" i="4"/>
  <c r="AA30" i="4"/>
  <c r="AA36" i="4"/>
  <c r="AA19" i="4"/>
  <c r="AA20" i="4"/>
  <c r="AA21" i="4"/>
  <c r="AA22" i="4"/>
  <c r="AA18" i="4"/>
  <c r="L35" i="4"/>
  <c r="L34" i="4"/>
  <c r="L32" i="4"/>
  <c r="L36" i="4"/>
  <c r="L37" i="4"/>
  <c r="L25" i="4"/>
  <c r="L26" i="4"/>
  <c r="L40" i="4"/>
  <c r="L28" i="4"/>
  <c r="L29" i="4"/>
  <c r="L30" i="4"/>
  <c r="L19" i="4"/>
  <c r="L20" i="4"/>
  <c r="L21" i="4"/>
  <c r="L22" i="4"/>
  <c r="L18" i="4"/>
  <c r="I23" i="4"/>
  <c r="H29" i="1"/>
  <c r="D29" i="1"/>
  <c r="E29" i="1"/>
  <c r="F29" i="1"/>
  <c r="G29" i="1"/>
  <c r="I15" i="1"/>
  <c r="I29" i="1" s="1"/>
  <c r="I12" i="1"/>
  <c r="I22" i="1"/>
  <c r="I6" i="1"/>
  <c r="I4" i="1"/>
  <c r="I5" i="1"/>
  <c r="I3" i="1"/>
  <c r="I8" i="1"/>
  <c r="I7" i="1"/>
  <c r="I11" i="1"/>
  <c r="I16" i="1"/>
  <c r="I9" i="1"/>
  <c r="I10" i="1"/>
  <c r="I17" i="1"/>
  <c r="I18" i="1"/>
  <c r="I26" i="1"/>
  <c r="I25" i="1"/>
  <c r="I13" i="1"/>
  <c r="I21" i="1"/>
  <c r="I19" i="1"/>
  <c r="I23" i="1"/>
  <c r="I20" i="1"/>
  <c r="I24" i="1"/>
  <c r="I28" i="1"/>
  <c r="I27" i="1"/>
  <c r="I14" i="1"/>
  <c r="I2" i="1"/>
  <c r="U14" i="12" l="1"/>
  <c r="R16" i="12"/>
  <c r="S15" i="12"/>
  <c r="AA16" i="12"/>
  <c r="R15" i="12"/>
  <c r="S16" i="12"/>
  <c r="U16" i="12"/>
  <c r="R14" i="12"/>
  <c r="U15" i="12"/>
  <c r="AA14" i="12"/>
  <c r="AA15" i="12"/>
  <c r="S14" i="12"/>
</calcChain>
</file>

<file path=xl/sharedStrings.xml><?xml version="1.0" encoding="utf-8"?>
<sst xmlns="http://schemas.openxmlformats.org/spreadsheetml/2006/main" count="1311" uniqueCount="389">
  <si>
    <t>Nike</t>
  </si>
  <si>
    <t>Vaporfly 4</t>
  </si>
  <si>
    <t>HER</t>
  </si>
  <si>
    <t>FER</t>
  </si>
  <si>
    <t>FSA</t>
  </si>
  <si>
    <t>HSA</t>
  </si>
  <si>
    <t>W</t>
  </si>
  <si>
    <t>Adidas</t>
  </si>
  <si>
    <t>Streakfly 2</t>
  </si>
  <si>
    <t>ZoomX Streakfly</t>
  </si>
  <si>
    <t>NB</t>
  </si>
  <si>
    <t>FuelCell SuperComb Elite v4</t>
  </si>
  <si>
    <t>Puma</t>
  </si>
  <si>
    <t>Deviate Nitro Elite 3</t>
  </si>
  <si>
    <t>Adizero Adios 9</t>
  </si>
  <si>
    <t>Adizero Adios Pro 4</t>
  </si>
  <si>
    <t>Hoka</t>
  </si>
  <si>
    <t>Cielo X1 2.0</t>
  </si>
  <si>
    <t>FuelCell SuperComb Pacer v2</t>
  </si>
  <si>
    <t>Vaporfly 3</t>
  </si>
  <si>
    <t>Adizero Adios Pro 3</t>
  </si>
  <si>
    <t>Alphafly 3</t>
  </si>
  <si>
    <t>Saucony</t>
  </si>
  <si>
    <t>Endorphin Speed 3</t>
  </si>
  <si>
    <t>Cielo X1</t>
  </si>
  <si>
    <t>Rocket X2</t>
  </si>
  <si>
    <t>Adizero Evo SL</t>
  </si>
  <si>
    <t>Asics</t>
  </si>
  <si>
    <t>Metaspeed Sky Paris</t>
  </si>
  <si>
    <t>ON</t>
  </si>
  <si>
    <t>Cloudboom Echo 3</t>
  </si>
  <si>
    <t>Adizero Prime X2 Strung</t>
  </si>
  <si>
    <t>Under Armour</t>
  </si>
  <si>
    <t>Velociti Elite 2</t>
  </si>
  <si>
    <t>Endorphin Speed 4</t>
  </si>
  <si>
    <t>Solarboost 5</t>
  </si>
  <si>
    <t>Adizero Takumi Sen 10</t>
  </si>
  <si>
    <t>Endorphin Pro 4</t>
  </si>
  <si>
    <t>Mizuno</t>
  </si>
  <si>
    <t>Neo Zen</t>
  </si>
  <si>
    <t>Supernova Rise</t>
  </si>
  <si>
    <t>Metaspeed Sky +</t>
  </si>
  <si>
    <t>Pureboost 23</t>
  </si>
  <si>
    <t>Supernova Rise 2</t>
  </si>
  <si>
    <t>Endorphin Elite</t>
  </si>
  <si>
    <t>Endorphin Trainer</t>
  </si>
  <si>
    <t>Supernova Solution</t>
  </si>
  <si>
    <t>Invincible 3</t>
  </si>
  <si>
    <t>Brand</t>
  </si>
  <si>
    <t>Version</t>
  </si>
  <si>
    <t>Fast-R Nitro Elite 2</t>
  </si>
  <si>
    <t>Salomon</t>
  </si>
  <si>
    <t>AeroGlide 3</t>
  </si>
  <si>
    <t>Pureboost 5</t>
  </si>
  <si>
    <t>Pegasus Premium</t>
  </si>
  <si>
    <t>Brooks</t>
  </si>
  <si>
    <t>Hyperion Elite 4 PB</t>
  </si>
  <si>
    <t>Supernova Prima</t>
  </si>
  <si>
    <t>Tempus</t>
  </si>
  <si>
    <t>Ultraboost 1.0</t>
  </si>
  <si>
    <t>Ultraboost Light</t>
  </si>
  <si>
    <t>Topo</t>
  </si>
  <si>
    <t>Cyclone 2</t>
  </si>
  <si>
    <t>Skyward X</t>
  </si>
  <si>
    <t>FuelCell SuperComb Trainer v3</t>
  </si>
  <si>
    <t>Ultraboost 5</t>
  </si>
  <si>
    <t>Ultraboost 5X</t>
  </si>
  <si>
    <t>Kinvara Pro</t>
  </si>
  <si>
    <t>Mach 6</t>
  </si>
  <si>
    <t>Superblast 2</t>
  </si>
  <si>
    <t>Superblast</t>
  </si>
  <si>
    <t>Mach 5</t>
  </si>
  <si>
    <t>Pegasus Plus</t>
  </si>
  <si>
    <t>Supernova+</t>
  </si>
  <si>
    <t>Novablast 5</t>
  </si>
  <si>
    <t>Adizero Boston 12</t>
  </si>
  <si>
    <t>Adizero Boston 13</t>
  </si>
  <si>
    <t>FuelCell SuperComb Rebel v4</t>
  </si>
  <si>
    <t>Infinite Elite</t>
  </si>
  <si>
    <t>Wave Rebellion Pro 2</t>
  </si>
  <si>
    <t>FreshFoam X Tempo v2</t>
  </si>
  <si>
    <t>Deviate Nitro Elite</t>
  </si>
  <si>
    <t>Supernova 2</t>
  </si>
  <si>
    <t>Mach X 2</t>
  </si>
  <si>
    <t>Guide 18</t>
  </si>
  <si>
    <t>Infinity RN4</t>
  </si>
  <si>
    <t>FreshFoam 680 v8</t>
  </si>
  <si>
    <t>Adizero Adios 8</t>
  </si>
  <si>
    <t>FreshFoam Arishi v4</t>
  </si>
  <si>
    <t>ZoomFly 6</t>
  </si>
  <si>
    <t>Triumph 22</t>
  </si>
  <si>
    <t>FreshFoam X 860 v14</t>
  </si>
  <si>
    <t>Deviate Nitro 3</t>
  </si>
  <si>
    <t>Bondi 9</t>
  </si>
  <si>
    <t>Mach X</t>
  </si>
  <si>
    <t>Forever Run Nitro</t>
  </si>
  <si>
    <t>Hurricane 24</t>
  </si>
  <si>
    <t>Reebok</t>
  </si>
  <si>
    <t>FloatZig 1</t>
  </si>
  <si>
    <t>Guide 17</t>
  </si>
  <si>
    <t>FreshFoam X Kaiha Road</t>
  </si>
  <si>
    <t>Ghost Max 2</t>
  </si>
  <si>
    <t>Hyperion 2</t>
  </si>
  <si>
    <t>FuelCell Propel v4</t>
  </si>
  <si>
    <t>Deviate Nitro 2</t>
  </si>
  <si>
    <t>Escalante 4</t>
  </si>
  <si>
    <t>Altra</t>
  </si>
  <si>
    <t>Novablast 4</t>
  </si>
  <si>
    <t>FuelCell Propel v5</t>
  </si>
  <si>
    <t>Torin 8</t>
  </si>
  <si>
    <t>Skyflow</t>
  </si>
  <si>
    <t>FreshFoam X 1080 v14</t>
  </si>
  <si>
    <t>FreshFoam X 1080 v13</t>
  </si>
  <si>
    <t>FreshFoam X 880 v14</t>
  </si>
  <si>
    <t>FreshFoam X 1080 v12</t>
  </si>
  <si>
    <t>HOVR Sonic 6</t>
  </si>
  <si>
    <t>Cloudrunner</t>
  </si>
  <si>
    <t>Kinvara 15</t>
  </si>
  <si>
    <t>Cloudrunner 2</t>
  </si>
  <si>
    <t>FreshFoam X More v4</t>
  </si>
  <si>
    <t>Cloudmonster</t>
  </si>
  <si>
    <t>Hyperion Max 2</t>
  </si>
  <si>
    <t>Ghost 16</t>
  </si>
  <si>
    <t>Vomero 17</t>
  </si>
  <si>
    <t>Neo Vista</t>
  </si>
  <si>
    <t>Vomero 18</t>
  </si>
  <si>
    <t>Downshifter 12</t>
  </si>
  <si>
    <t>Winflo 11 GTX</t>
  </si>
  <si>
    <t>Carbon X 3</t>
  </si>
  <si>
    <t>Magic Speed 3</t>
  </si>
  <si>
    <t>Cloudmonster 2</t>
  </si>
  <si>
    <t>Wave Sky 8</t>
  </si>
  <si>
    <t>Rincon 4</t>
  </si>
  <si>
    <t>FreshFoam X 880 v15</t>
  </si>
  <si>
    <t>Cloudstratus 3</t>
  </si>
  <si>
    <t>Cloudsurfer 7</t>
  </si>
  <si>
    <t>Cloudflow 4</t>
  </si>
  <si>
    <t>Velocity Nitro 3</t>
  </si>
  <si>
    <t>Hyperion Elite 4</t>
  </si>
  <si>
    <t>FreshFoam X Evoz v4</t>
  </si>
  <si>
    <t>FreshFoam X Evoz v3</t>
  </si>
  <si>
    <t>Kinvara 14</t>
  </si>
  <si>
    <t>Adizero SL2</t>
  </si>
  <si>
    <t>Pegasus 41 GTX</t>
  </si>
  <si>
    <t>Cloudsurfer Next</t>
  </si>
  <si>
    <t>Gel Kinsei Max</t>
  </si>
  <si>
    <t>Novablast 3</t>
  </si>
  <si>
    <t>FreshFoam Roav v2</t>
  </si>
  <si>
    <t>Magic Speed 4</t>
  </si>
  <si>
    <t>Skechers</t>
  </si>
  <si>
    <t>Go Run Ride 11</t>
  </si>
  <si>
    <t>Pegasus 41</t>
  </si>
  <si>
    <t>MagMax Nitro</t>
  </si>
  <si>
    <t>No</t>
  </si>
  <si>
    <t>Pr</t>
  </si>
  <si>
    <t>Clifton 10</t>
  </si>
  <si>
    <t>Forever Run Nitro 2</t>
  </si>
  <si>
    <t>Fast-R Nitro Elite 3</t>
  </si>
  <si>
    <t>Takumi Sen 11</t>
  </si>
  <si>
    <t>FuelCell Rebel v4</t>
  </si>
  <si>
    <t>FuelCell Rebel v5</t>
  </si>
  <si>
    <t>HER-FER</t>
  </si>
  <si>
    <t>Velocity Nitro 4</t>
  </si>
  <si>
    <t>MagMax Nitro 2</t>
  </si>
  <si>
    <t>MagmaX Nitro 2</t>
  </si>
  <si>
    <t>Magnify Nitro 3</t>
  </si>
  <si>
    <t>Megablast</t>
  </si>
  <si>
    <t>Hyperboost Edge</t>
  </si>
  <si>
    <t>FOAM</t>
  </si>
  <si>
    <t>A-TPU</t>
  </si>
  <si>
    <t>PEBA/EVA</t>
  </si>
  <si>
    <t>R</t>
  </si>
  <si>
    <t>D</t>
  </si>
  <si>
    <t>S</t>
  </si>
  <si>
    <t>C</t>
  </si>
  <si>
    <t>Vomero Plus</t>
  </si>
  <si>
    <t>Endorphin Azura</t>
  </si>
  <si>
    <t>Type</t>
  </si>
  <si>
    <t>Deviate Nitro Elite 4</t>
  </si>
  <si>
    <t>Adizero EVO SL</t>
  </si>
  <si>
    <t>Heel</t>
  </si>
  <si>
    <t>Fore</t>
  </si>
  <si>
    <t>Width</t>
  </si>
  <si>
    <t>Toe</t>
  </si>
  <si>
    <t>DROP</t>
  </si>
  <si>
    <t>minus</t>
  </si>
  <si>
    <t>old-version</t>
  </si>
  <si>
    <t>lacks-breathability</t>
  </si>
  <si>
    <t>midsole-coverage</t>
  </si>
  <si>
    <t>up-600k-from-latest</t>
  </si>
  <si>
    <t>very-limited-mileage</t>
  </si>
  <si>
    <t>Ret</t>
  </si>
  <si>
    <t>DC</t>
  </si>
  <si>
    <t>PEBA</t>
  </si>
  <si>
    <t>TPEE</t>
  </si>
  <si>
    <t>TPE</t>
  </si>
  <si>
    <t>foam?</t>
  </si>
  <si>
    <t>myApprox</t>
  </si>
  <si>
    <t>m-fore</t>
  </si>
  <si>
    <t>outsole-exposed-foam</t>
  </si>
  <si>
    <t>TRAC</t>
  </si>
  <si>
    <t>o-thick</t>
  </si>
  <si>
    <t>prefer-a-tpu-if-nitro</t>
  </si>
  <si>
    <t>up-foam</t>
  </si>
  <si>
    <t>W-US-M9</t>
  </si>
  <si>
    <t>lace-holder-problems</t>
  </si>
  <si>
    <t>short-tounge-poor-laces</t>
  </si>
  <si>
    <t>up-size-narrow-toe</t>
  </si>
  <si>
    <t>midsole-durability</t>
  </si>
  <si>
    <t>long-run-sucks</t>
  </si>
  <si>
    <t>re-BUY</t>
  </si>
  <si>
    <t>no</t>
  </si>
  <si>
    <t>NO</t>
  </si>
  <si>
    <t>YES</t>
  </si>
  <si>
    <t>lateral-fore-teardown</t>
  </si>
  <si>
    <t>maybe</t>
  </si>
  <si>
    <t>RESULTS</t>
  </si>
  <si>
    <t>wait-review</t>
  </si>
  <si>
    <t>pricy</t>
  </si>
  <si>
    <t>not-worth</t>
  </si>
  <si>
    <t>careful</t>
  </si>
  <si>
    <t>drem</t>
  </si>
  <si>
    <t>o-dur%</t>
  </si>
  <si>
    <t>o-stay</t>
  </si>
  <si>
    <t>m-soft</t>
  </si>
  <si>
    <t>Sonicblast</t>
  </si>
  <si>
    <t>Superblast 3</t>
  </si>
  <si>
    <t>prefer-firm-for-daily</t>
  </si>
  <si>
    <t>POE</t>
  </si>
  <si>
    <t>prefer-megablast</t>
  </si>
  <si>
    <t>A-TPU/EVA</t>
  </si>
  <si>
    <t>misleading-mid-brand</t>
  </si>
  <si>
    <t>over-priced</t>
  </si>
  <si>
    <t>too-soft</t>
  </si>
  <si>
    <t>Metaspeed Sky Tokyo</t>
  </si>
  <si>
    <t>confuse-sky-edge</t>
  </si>
  <si>
    <t>A-TPU/TPEE</t>
  </si>
  <si>
    <t>flexstiff</t>
  </si>
  <si>
    <t>torsrigid</t>
  </si>
  <si>
    <t>firm-flex natural rhythm trainer</t>
  </si>
  <si>
    <t>moderately soft controlled-flow endurance supertrainer</t>
  </si>
  <si>
    <t>conclusion</t>
  </si>
  <si>
    <t>firm-max-stack guided-flex-trainer</t>
  </si>
  <si>
    <t>aggressive forward loading</t>
  </si>
  <si>
    <t>race adaptation from velocity philosophy</t>
  </si>
  <si>
    <t>SC Elite 5</t>
  </si>
  <si>
    <t>laces-slip</t>
  </si>
  <si>
    <t>race stable comfort</t>
  </si>
  <si>
    <t>Rocket X3</t>
  </si>
  <si>
    <t>Metaspeed Edge Tokyo</t>
  </si>
  <si>
    <t>Endorphin Elite 2</t>
  </si>
  <si>
    <t>Adios Pro Evo 3</t>
  </si>
  <si>
    <t>non-gusseted</t>
  </si>
  <si>
    <t>EVA</t>
  </si>
  <si>
    <t>Neo Vista 2</t>
  </si>
  <si>
    <t>Glyrerin Max 2</t>
  </si>
  <si>
    <t>not-prefer-sock-like</t>
  </si>
  <si>
    <t>TPU</t>
  </si>
  <si>
    <t>On</t>
  </si>
  <si>
    <t>Cloudmonster 3 Hyper</t>
  </si>
  <si>
    <t>overpriced</t>
  </si>
  <si>
    <t>Pegasus 42</t>
  </si>
  <si>
    <t>air-zoom-branding</t>
  </si>
  <si>
    <t>Triumph 23</t>
  </si>
  <si>
    <t>Mach 7</t>
  </si>
  <si>
    <t>slightly overpriced</t>
  </si>
  <si>
    <t>Gel Cumulus 28</t>
  </si>
  <si>
    <t>confuse-gel-blast</t>
  </si>
  <si>
    <t>Gel Nimbus 28</t>
  </si>
  <si>
    <t>Aero Glide 4</t>
  </si>
  <si>
    <t>eTPU</t>
  </si>
  <si>
    <t>oversized-tongue</t>
  </si>
  <si>
    <t>Hyperion Max 3</t>
  </si>
  <si>
    <t>Glycerin 23</t>
  </si>
  <si>
    <t>M</t>
  </si>
  <si>
    <t>Glideride Max 2</t>
  </si>
  <si>
    <t>stack-drop-vary</t>
  </si>
  <si>
    <t>Adizero SL 2</t>
  </si>
  <si>
    <t>tounge-design</t>
  </si>
  <si>
    <t>overlay-gusset-middle</t>
  </si>
  <si>
    <t>Supernova Rise 3</t>
  </si>
  <si>
    <t>lacing-system</t>
  </si>
  <si>
    <t>h-specs</t>
  </si>
  <si>
    <t>f-specs</t>
  </si>
  <si>
    <t>h-meas</t>
  </si>
  <si>
    <t>f-meas</t>
  </si>
  <si>
    <t>d-specs</t>
  </si>
  <si>
    <t>d-meas</t>
  </si>
  <si>
    <t>1-reds,0-blue</t>
  </si>
  <si>
    <t>3-reds,0-blue</t>
  </si>
  <si>
    <t>0-reds,1-blue</t>
  </si>
  <si>
    <t>Cloudboom Strike</t>
  </si>
  <si>
    <t>Metaspeeed Ray</t>
  </si>
  <si>
    <t>2-reds,2-blue</t>
  </si>
  <si>
    <t>too-aggressive-geo</t>
  </si>
  <si>
    <t>slightly-overpriced</t>
  </si>
  <si>
    <t>0-reds,0-blue</t>
  </si>
  <si>
    <t>Hyperion Elite 5</t>
  </si>
  <si>
    <t>Ortuseight</t>
  </si>
  <si>
    <t>Solar 2.0</t>
  </si>
  <si>
    <t>not-enough</t>
  </si>
  <si>
    <t>2-reds,1-blue</t>
  </si>
  <si>
    <t>Endorphine Pro 5</t>
  </si>
  <si>
    <t>0-reds,3-blue</t>
  </si>
  <si>
    <t>sock-like?</t>
  </si>
  <si>
    <t>4-reds,5-blue</t>
  </si>
  <si>
    <t>new-version-updated</t>
  </si>
  <si>
    <t>Ty</t>
  </si>
  <si>
    <t>m-md-sgs</t>
  </si>
  <si>
    <t>0-greens</t>
  </si>
  <si>
    <t>2-greens</t>
  </si>
  <si>
    <t>1-greens</t>
  </si>
  <si>
    <t>3-purples</t>
  </si>
  <si>
    <t>m-fore-rr</t>
  </si>
  <si>
    <t>m-heel-rr</t>
  </si>
  <si>
    <t>approx-rr</t>
  </si>
  <si>
    <t>4-greens</t>
  </si>
  <si>
    <t>4-out-5</t>
  </si>
  <si>
    <t>1-purples</t>
  </si>
  <si>
    <t>Deviate Nitro 4</t>
  </si>
  <si>
    <t>Prime X3 Strung</t>
  </si>
  <si>
    <t>Endorphin Speed 5</t>
  </si>
  <si>
    <t>Zoom Fly 6</t>
  </si>
  <si>
    <t>stiff-plate</t>
  </si>
  <si>
    <t>too-much-geometry</t>
  </si>
  <si>
    <t>nylon-plate</t>
  </si>
  <si>
    <t>awkward-design</t>
  </si>
  <si>
    <t>max</t>
  </si>
  <si>
    <t>min</t>
  </si>
  <si>
    <t>average</t>
  </si>
  <si>
    <t>5out5</t>
  </si>
  <si>
    <t>4out5</t>
  </si>
  <si>
    <t>4-reds</t>
  </si>
  <si>
    <t>3-reds</t>
  </si>
  <si>
    <t>7-reds</t>
  </si>
  <si>
    <t>2-reds</t>
  </si>
  <si>
    <t>8-reds</t>
  </si>
  <si>
    <t>6-reds</t>
  </si>
  <si>
    <t>5-reds</t>
  </si>
  <si>
    <t>9-reds</t>
  </si>
  <si>
    <t>9-oranges</t>
  </si>
  <si>
    <t>6-oranges</t>
  </si>
  <si>
    <t>11-oranges</t>
  </si>
  <si>
    <t>5-oranges</t>
  </si>
  <si>
    <t>7-oranges</t>
  </si>
  <si>
    <t>4-oranges</t>
  </si>
  <si>
    <t>3out5</t>
  </si>
  <si>
    <t>7-greens</t>
  </si>
  <si>
    <t>11-greens</t>
  </si>
  <si>
    <t>8-greens</t>
  </si>
  <si>
    <t>5-greens</t>
  </si>
  <si>
    <t>9-greens</t>
  </si>
  <si>
    <t>6-greens</t>
  </si>
  <si>
    <t>7-purples</t>
  </si>
  <si>
    <t>5-purples</t>
  </si>
  <si>
    <t>9-purples</t>
  </si>
  <si>
    <t>6-purples</t>
  </si>
  <si>
    <t>4-purples</t>
  </si>
  <si>
    <t>10-purples</t>
  </si>
  <si>
    <t>8-purples</t>
  </si>
  <si>
    <t>PRICE</t>
  </si>
  <si>
    <t>POINTS</t>
  </si>
  <si>
    <t>Magmax 2</t>
  </si>
  <si>
    <t>DAILY TRAINER POWER RANKING</t>
  </si>
  <si>
    <t>MAXIMALIST TRAINER POWER RANKING</t>
  </si>
  <si>
    <t>SUPER TRAINER POWER RANKING</t>
  </si>
  <si>
    <t>performance</t>
  </si>
  <si>
    <t>durability</t>
  </si>
  <si>
    <t>weight</t>
  </si>
  <si>
    <t>high</t>
  </si>
  <si>
    <t>low</t>
  </si>
  <si>
    <t>myPref</t>
  </si>
  <si>
    <t>structure</t>
  </si>
  <si>
    <t>flexible</t>
  </si>
  <si>
    <t>stability</t>
  </si>
  <si>
    <t>foam</t>
  </si>
  <si>
    <t>rigid</t>
  </si>
  <si>
    <t>soft</t>
  </si>
  <si>
    <t>price</t>
  </si>
  <si>
    <t>DAILY</t>
  </si>
  <si>
    <t>MAX</t>
  </si>
  <si>
    <t>SUPER</t>
  </si>
  <si>
    <t>plate</t>
  </si>
  <si>
    <t>unaccept</t>
  </si>
  <si>
    <t>accept</t>
  </si>
  <si>
    <t>rocker</t>
  </si>
  <si>
    <t>must</t>
  </si>
  <si>
    <t>not-must</t>
  </si>
  <si>
    <t>firm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</si>
</sst>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2" fillId="0" borderId="0" xfId="0" applyFont="1"/>
    <xf numFmtId="0" fontId="3" fillId="0" borderId="0" xfId="0" applyFont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1" fillId="0" borderId="0" xfId="0" applyFont="1"/>
    <xf numFmtId="0" fontId="0" fillId="14" borderId="0" xfId="0" applyFill="1"/>
    <xf numFmtId="0" fontId="0" fillId="15" borderId="0" xfId="0" applyFill="1"/>
    <xf numFmtId="0" fontId="4" fillId="16" borderId="0" xfId="0" applyFont="1" applyFill="1"/>
    <xf numFmtId="0" fontId="5" fillId="13" borderId="0" xfId="0" applyFont="1" applyFill="1"/>
    <xf numFmtId="0" fontId="5" fillId="8" borderId="0" xfId="0" applyFont="1" applyFill="1"/>
    <xf numFmtId="0" fontId="5" fillId="15" borderId="0" xfId="0" applyFont="1" applyFill="1"/>
    <xf numFmtId="0" fontId="5" fillId="14" borderId="0" xfId="0" applyFont="1" applyFill="1"/>
    <xf numFmtId="0" fontId="1" fillId="16" borderId="0" xfId="0" applyFont="1" applyFill="1"/>
    <xf numFmtId="0" fontId="0" fillId="17" borderId="0" xfId="0" applyFill="1"/>
    <xf numFmtId="0" fontId="6" fillId="0" borderId="0" xfId="0" applyFont="1"/>
    <xf numFmtId="0" fontId="5" fillId="18" borderId="0" xfId="0" applyFont="1" applyFill="1"/>
    <xf numFmtId="0" fontId="6" fillId="14" borderId="0" xfId="0" applyFont="1" applyFill="1"/>
    <xf numFmtId="0" fontId="6" fillId="13" borderId="0" xfId="0" applyFont="1" applyFill="1"/>
    <xf numFmtId="0" fontId="6" fillId="15" borderId="0" xfId="0" applyFont="1" applyFill="1"/>
    <xf numFmtId="0" fontId="0" fillId="19" borderId="0" xfId="0" applyFill="1"/>
    <xf numFmtId="0" fontId="6" fillId="17" borderId="0" xfId="0" applyFont="1" applyFill="1"/>
    <xf numFmtId="0" fontId="6" fillId="8" borderId="0" xfId="0" applyFont="1" applyFill="1"/>
    <xf numFmtId="0" fontId="7" fillId="20" borderId="0" xfId="0" applyFont="1" applyFill="1"/>
    <xf numFmtId="0" fontId="0" fillId="20" borderId="0" xfId="0" applyFill="1"/>
    <xf numFmtId="0" fontId="6" fillId="20" borderId="0" xfId="0" applyFont="1" applyFill="1"/>
    <xf numFmtId="0" fontId="6" fillId="2" borderId="0" xfId="0" applyFont="1" applyFill="1"/>
    <xf numFmtId="0" fontId="6" fillId="6" borderId="0" xfId="0" applyFont="1" applyFill="1"/>
    <xf numFmtId="0" fontId="0" fillId="0" borderId="0" xfId="0" applyFill="1"/>
    <xf numFmtId="0" fontId="6" fillId="11" borderId="0" xfId="0" applyFont="1" applyFill="1"/>
    <xf numFmtId="0" fontId="0" fillId="21" borderId="0" xfId="0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2" borderId="0" xfId="0" applyFill="1"/>
    <xf numFmtId="0" fontId="0" fillId="23" borderId="0" xfId="0" applyFill="1"/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A7AF-537B-417D-BFCE-60F3A964ADFA}">
  <dimension ref="A1:AC41"/>
  <sheetViews>
    <sheetView topLeftCell="A17" zoomScale="80" zoomScaleNormal="80" workbookViewId="0">
      <pane xSplit="3" topLeftCell="D1" activePane="topRight" state="frozen"/>
      <selection activeCell="A16" sqref="A16"/>
      <selection pane="topRight" activeCell="X22" sqref="X22"/>
    </sheetView>
  </sheetViews>
  <sheetFormatPr defaultRowHeight="14.5" x14ac:dyDescent="0.35"/>
  <cols>
    <col min="1" max="1" width="4.54296875" customWidth="1"/>
    <col min="2" max="2" width="7.6328125" customWidth="1"/>
    <col min="3" max="3" width="17.90625" customWidth="1"/>
    <col min="9" max="9" width="9.1796875" customWidth="1"/>
    <col min="10" max="10" width="5.7265625" customWidth="1"/>
    <col min="11" max="11" width="5.54296875" customWidth="1"/>
    <col min="12" max="12" width="6.08984375" customWidth="1"/>
    <col min="13" max="13" width="5.36328125" customWidth="1"/>
    <col min="14" max="14" width="5.08984375" customWidth="1"/>
    <col min="15" max="19" width="6.6328125" customWidth="1"/>
    <col min="20" max="20" width="5.08984375" customWidth="1"/>
    <col min="21" max="21" width="6.26953125" customWidth="1"/>
    <col min="22" max="22" width="7.1796875" customWidth="1"/>
    <col min="23" max="23" width="7.81640625" customWidth="1"/>
    <col min="24" max="24" width="19.36328125" customWidth="1"/>
    <col min="25" max="25" width="10.54296875" customWidth="1"/>
    <col min="26" max="26" width="8.7265625" customWidth="1"/>
    <col min="28" max="28" width="10.36328125" customWidth="1"/>
    <col min="29" max="29" width="47.08984375" customWidth="1"/>
  </cols>
  <sheetData>
    <row r="1" spans="1:23" x14ac:dyDescent="0.35">
      <c r="A1" s="4" t="s">
        <v>153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6</v>
      </c>
      <c r="I1" s="4" t="s">
        <v>154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x14ac:dyDescent="0.35">
      <c r="A2">
        <v>1</v>
      </c>
      <c r="B2" t="s">
        <v>0</v>
      </c>
      <c r="C2" t="s">
        <v>21</v>
      </c>
      <c r="D2" s="6">
        <v>74.900000000000006</v>
      </c>
      <c r="E2" s="6">
        <v>144</v>
      </c>
      <c r="F2" s="6">
        <v>73.900000000000006</v>
      </c>
      <c r="G2">
        <v>113</v>
      </c>
      <c r="H2" s="6">
        <v>201</v>
      </c>
      <c r="I2" s="5">
        <v>4100000</v>
      </c>
    </row>
    <row r="3" spans="1:23" x14ac:dyDescent="0.35">
      <c r="A3">
        <v>2</v>
      </c>
      <c r="B3" t="s">
        <v>7</v>
      </c>
      <c r="C3" t="s">
        <v>26</v>
      </c>
      <c r="D3" s="6">
        <v>74.3</v>
      </c>
      <c r="E3" s="6">
        <v>147</v>
      </c>
      <c r="F3" s="6">
        <v>73.5</v>
      </c>
      <c r="G3" s="6">
        <v>126</v>
      </c>
      <c r="H3" s="6">
        <v>223</v>
      </c>
      <c r="I3" s="6">
        <v>2300000</v>
      </c>
    </row>
    <row r="4" spans="1:23" x14ac:dyDescent="0.35">
      <c r="A4">
        <v>3</v>
      </c>
      <c r="B4" t="s">
        <v>12</v>
      </c>
      <c r="C4" t="s">
        <v>162</v>
      </c>
      <c r="D4">
        <v>67.5</v>
      </c>
      <c r="E4">
        <v>136</v>
      </c>
      <c r="F4" s="6">
        <v>74.2</v>
      </c>
      <c r="G4">
        <v>100</v>
      </c>
      <c r="H4" s="6">
        <v>224</v>
      </c>
      <c r="I4" s="6">
        <v>2100000</v>
      </c>
    </row>
    <row r="5" spans="1:23" x14ac:dyDescent="0.35">
      <c r="A5">
        <v>4</v>
      </c>
      <c r="B5" t="s">
        <v>22</v>
      </c>
      <c r="C5" t="s">
        <v>67</v>
      </c>
      <c r="D5">
        <v>65.900000000000006</v>
      </c>
      <c r="E5">
        <v>127</v>
      </c>
      <c r="F5" s="6">
        <v>70.400000000000006</v>
      </c>
      <c r="G5">
        <v>115</v>
      </c>
      <c r="H5">
        <v>281</v>
      </c>
      <c r="I5">
        <v>2700000</v>
      </c>
    </row>
    <row r="6" spans="1:23" x14ac:dyDescent="0.35">
      <c r="A6">
        <v>5</v>
      </c>
      <c r="B6" t="s">
        <v>16</v>
      </c>
      <c r="C6" t="s">
        <v>68</v>
      </c>
      <c r="D6">
        <v>65.400000000000006</v>
      </c>
      <c r="E6">
        <v>135</v>
      </c>
      <c r="F6">
        <v>67</v>
      </c>
      <c r="G6">
        <v>114</v>
      </c>
      <c r="H6" s="6">
        <v>232</v>
      </c>
      <c r="I6">
        <v>2600000</v>
      </c>
    </row>
    <row r="7" spans="1:23" x14ac:dyDescent="0.35">
      <c r="A7">
        <v>6</v>
      </c>
      <c r="B7" t="s">
        <v>27</v>
      </c>
      <c r="C7" t="s">
        <v>69</v>
      </c>
      <c r="D7">
        <v>65.400000000000006</v>
      </c>
      <c r="E7">
        <v>130</v>
      </c>
      <c r="F7">
        <v>65.5</v>
      </c>
      <c r="G7" s="6">
        <v>138</v>
      </c>
      <c r="H7">
        <v>252</v>
      </c>
      <c r="I7" s="5">
        <v>3300000</v>
      </c>
    </row>
    <row r="8" spans="1:23" x14ac:dyDescent="0.35">
      <c r="A8">
        <v>7</v>
      </c>
      <c r="B8" t="s">
        <v>0</v>
      </c>
      <c r="C8" t="s">
        <v>72</v>
      </c>
      <c r="D8">
        <v>64.400000000000006</v>
      </c>
      <c r="E8">
        <v>125</v>
      </c>
      <c r="F8" s="6">
        <v>70.8</v>
      </c>
      <c r="G8" s="5">
        <v>79</v>
      </c>
      <c r="H8" s="6">
        <v>244</v>
      </c>
      <c r="I8">
        <v>2850000</v>
      </c>
    </row>
    <row r="9" spans="1:23" x14ac:dyDescent="0.35">
      <c r="A9">
        <v>8</v>
      </c>
      <c r="B9" t="s">
        <v>7</v>
      </c>
      <c r="C9" t="s">
        <v>76</v>
      </c>
      <c r="D9">
        <v>63.4</v>
      </c>
      <c r="E9">
        <v>127</v>
      </c>
      <c r="F9">
        <v>69.7</v>
      </c>
      <c r="G9">
        <v>108</v>
      </c>
      <c r="H9">
        <v>254</v>
      </c>
      <c r="I9" s="6">
        <v>2300000</v>
      </c>
    </row>
    <row r="10" spans="1:23" x14ac:dyDescent="0.35">
      <c r="A10">
        <v>9</v>
      </c>
      <c r="B10" t="s">
        <v>16</v>
      </c>
      <c r="C10" t="s">
        <v>83</v>
      </c>
      <c r="D10">
        <v>61.4</v>
      </c>
      <c r="E10" s="6">
        <v>149</v>
      </c>
      <c r="F10">
        <v>68.5</v>
      </c>
      <c r="G10" s="6">
        <v>133</v>
      </c>
      <c r="H10" s="6">
        <v>247</v>
      </c>
      <c r="I10" s="5">
        <v>3300000</v>
      </c>
    </row>
    <row r="11" spans="1:23" x14ac:dyDescent="0.35">
      <c r="A11">
        <v>10</v>
      </c>
      <c r="B11" t="s">
        <v>0</v>
      </c>
      <c r="C11" t="s">
        <v>89</v>
      </c>
      <c r="D11">
        <v>61</v>
      </c>
      <c r="E11">
        <v>144</v>
      </c>
      <c r="F11">
        <v>67</v>
      </c>
      <c r="G11">
        <v>111</v>
      </c>
      <c r="H11" s="6">
        <v>248</v>
      </c>
      <c r="I11">
        <v>2670000</v>
      </c>
    </row>
    <row r="12" spans="1:23" x14ac:dyDescent="0.35">
      <c r="A12">
        <v>11</v>
      </c>
      <c r="B12" t="s">
        <v>16</v>
      </c>
      <c r="C12" t="s">
        <v>93</v>
      </c>
      <c r="D12">
        <v>60.2</v>
      </c>
      <c r="E12" s="6">
        <v>146</v>
      </c>
      <c r="F12">
        <v>60.3</v>
      </c>
      <c r="G12" s="6">
        <v>133</v>
      </c>
      <c r="H12" s="5">
        <v>303</v>
      </c>
      <c r="I12" s="5">
        <v>3000000</v>
      </c>
    </row>
    <row r="13" spans="1:23" x14ac:dyDescent="0.35">
      <c r="A13">
        <v>12</v>
      </c>
      <c r="B13" t="s">
        <v>12</v>
      </c>
      <c r="C13" t="s">
        <v>95</v>
      </c>
      <c r="D13">
        <v>59.8</v>
      </c>
      <c r="E13">
        <v>133</v>
      </c>
      <c r="F13">
        <v>63.5</v>
      </c>
      <c r="G13">
        <v>108</v>
      </c>
      <c r="H13">
        <v>274</v>
      </c>
      <c r="I13">
        <v>2500000</v>
      </c>
    </row>
    <row r="14" spans="1:23" x14ac:dyDescent="0.35">
      <c r="A14">
        <v>13</v>
      </c>
      <c r="B14" t="s">
        <v>16</v>
      </c>
      <c r="C14" t="s">
        <v>110</v>
      </c>
      <c r="D14">
        <v>58.1</v>
      </c>
      <c r="E14">
        <v>133</v>
      </c>
      <c r="F14">
        <v>59.5</v>
      </c>
      <c r="G14">
        <v>121</v>
      </c>
      <c r="H14">
        <v>282</v>
      </c>
      <c r="I14">
        <v>2800000</v>
      </c>
    </row>
    <row r="15" spans="1:23" x14ac:dyDescent="0.35">
      <c r="A15">
        <v>14</v>
      </c>
      <c r="B15" t="s">
        <v>12</v>
      </c>
      <c r="C15" t="s">
        <v>152</v>
      </c>
      <c r="D15">
        <v>55.5</v>
      </c>
      <c r="E15" s="6">
        <v>148</v>
      </c>
      <c r="F15">
        <v>57.3</v>
      </c>
      <c r="G15" s="6">
        <v>139</v>
      </c>
      <c r="H15">
        <v>291</v>
      </c>
      <c r="I15">
        <v>2700000</v>
      </c>
    </row>
    <row r="17" spans="1:29" x14ac:dyDescent="0.35">
      <c r="A17" s="4" t="s">
        <v>177</v>
      </c>
      <c r="B17" s="4" t="s">
        <v>48</v>
      </c>
      <c r="C17" s="4" t="s">
        <v>49</v>
      </c>
      <c r="D17" s="4" t="s">
        <v>2</v>
      </c>
      <c r="E17" s="4" t="s">
        <v>5</v>
      </c>
      <c r="F17" s="4" t="s">
        <v>3</v>
      </c>
      <c r="G17" s="4" t="s">
        <v>4</v>
      </c>
      <c r="H17" s="4" t="s">
        <v>204</v>
      </c>
      <c r="I17" s="4" t="s">
        <v>154</v>
      </c>
      <c r="J17" s="4" t="s">
        <v>180</v>
      </c>
      <c r="K17" s="4" t="s">
        <v>181</v>
      </c>
      <c r="L17" s="4" t="s">
        <v>184</v>
      </c>
      <c r="M17" s="4" t="s">
        <v>182</v>
      </c>
      <c r="N17" s="4" t="s">
        <v>183</v>
      </c>
      <c r="O17" s="4" t="s">
        <v>198</v>
      </c>
      <c r="P17" s="4" t="s">
        <v>201</v>
      </c>
      <c r="Q17" s="4" t="s">
        <v>221</v>
      </c>
      <c r="R17" s="4" t="s">
        <v>222</v>
      </c>
      <c r="S17" s="4" t="s">
        <v>223</v>
      </c>
      <c r="T17" s="4" t="s">
        <v>200</v>
      </c>
      <c r="U17" s="4" t="s">
        <v>224</v>
      </c>
      <c r="V17" s="4" t="s">
        <v>237</v>
      </c>
      <c r="W17" s="4" t="s">
        <v>238</v>
      </c>
      <c r="X17" s="4" t="s">
        <v>185</v>
      </c>
      <c r="Y17" s="4" t="s">
        <v>168</v>
      </c>
      <c r="Z17" s="4" t="s">
        <v>197</v>
      </c>
      <c r="AA17" s="4" t="s">
        <v>203</v>
      </c>
      <c r="AB17" s="4" t="s">
        <v>210</v>
      </c>
      <c r="AC17" s="4" t="s">
        <v>241</v>
      </c>
    </row>
    <row r="18" spans="1:29" x14ac:dyDescent="0.35">
      <c r="A18" t="s">
        <v>171</v>
      </c>
      <c r="B18" s="19" t="s">
        <v>12</v>
      </c>
      <c r="C18" s="19" t="s">
        <v>13</v>
      </c>
      <c r="D18" s="19">
        <v>77.099999999999994</v>
      </c>
      <c r="E18" s="19">
        <v>147</v>
      </c>
      <c r="F18" s="19">
        <v>76.3</v>
      </c>
      <c r="G18" s="19">
        <v>124</v>
      </c>
      <c r="H18" s="19">
        <v>204</v>
      </c>
      <c r="I18">
        <v>3200000</v>
      </c>
      <c r="J18">
        <v>39.200000000000003</v>
      </c>
      <c r="K18">
        <v>28.6</v>
      </c>
      <c r="L18" s="6">
        <f>$J18-$K18</f>
        <v>10.600000000000001</v>
      </c>
      <c r="M18">
        <v>94.4</v>
      </c>
      <c r="N18">
        <v>69.5</v>
      </c>
      <c r="O18" s="19">
        <v>108</v>
      </c>
      <c r="P18" s="19">
        <v>2.6</v>
      </c>
      <c r="Q18" s="19">
        <v>1.6</v>
      </c>
      <c r="R18" s="19">
        <f>1-($Q18/$P18)</f>
        <v>0.38461538461538458</v>
      </c>
      <c r="S18" s="19">
        <f>$P18-$Q18</f>
        <v>1</v>
      </c>
      <c r="T18" s="19">
        <v>0.67</v>
      </c>
      <c r="U18" s="19">
        <f>AVERAGE(31.8,35.5)</f>
        <v>33.65</v>
      </c>
      <c r="V18" s="19">
        <v>18.100000000000001</v>
      </c>
      <c r="W18" s="19"/>
      <c r="X18" t="s">
        <v>207</v>
      </c>
      <c r="Y18" t="s">
        <v>169</v>
      </c>
      <c r="Z18">
        <v>190</v>
      </c>
      <c r="AA18" s="14">
        <f>$O18-$M18</f>
        <v>13.599999999999994</v>
      </c>
      <c r="AB18" t="s">
        <v>211</v>
      </c>
    </row>
    <row r="19" spans="1:29" x14ac:dyDescent="0.35">
      <c r="A19" t="s">
        <v>191</v>
      </c>
      <c r="B19" s="18" t="s">
        <v>10</v>
      </c>
      <c r="C19" s="18" t="s">
        <v>159</v>
      </c>
      <c r="D19" s="18">
        <v>63.1</v>
      </c>
      <c r="E19" s="18">
        <v>139</v>
      </c>
      <c r="F19" s="18">
        <v>66.8</v>
      </c>
      <c r="G19" s="18">
        <v>97</v>
      </c>
      <c r="H19" s="18">
        <v>213</v>
      </c>
      <c r="I19" s="9">
        <v>2400000</v>
      </c>
      <c r="J19">
        <v>28</v>
      </c>
      <c r="K19">
        <v>21.5</v>
      </c>
      <c r="L19" s="2">
        <f t="shared" ref="L19:L22" si="0">$J19-$K19</f>
        <v>6.5</v>
      </c>
      <c r="M19">
        <v>96</v>
      </c>
      <c r="N19">
        <v>78.400000000000006</v>
      </c>
      <c r="O19" s="23">
        <v>124.7</v>
      </c>
      <c r="P19" s="23">
        <v>3.2</v>
      </c>
      <c r="Q19" s="23">
        <v>0.8</v>
      </c>
      <c r="R19" s="26">
        <f>1-($Q19/$P19)</f>
        <v>0.75</v>
      </c>
      <c r="S19" s="26">
        <f t="shared" ref="S19:S22" si="1">$P19-$Q19</f>
        <v>2.4000000000000004</v>
      </c>
      <c r="T19" s="23">
        <v>0.5</v>
      </c>
      <c r="U19" s="23">
        <v>23.7</v>
      </c>
      <c r="V19" s="23">
        <v>8.1</v>
      </c>
      <c r="W19" s="23"/>
      <c r="X19" t="s">
        <v>208</v>
      </c>
      <c r="Y19" t="s">
        <v>170</v>
      </c>
      <c r="Z19">
        <v>165</v>
      </c>
      <c r="AA19">
        <f t="shared" ref="AA19:AA22" si="2">$O19-$M19</f>
        <v>28.700000000000003</v>
      </c>
      <c r="AB19" t="s">
        <v>212</v>
      </c>
    </row>
    <row r="20" spans="1:29" x14ac:dyDescent="0.35">
      <c r="A20" t="s">
        <v>173</v>
      </c>
      <c r="B20" s="20" t="s">
        <v>27</v>
      </c>
      <c r="C20" s="20" t="s">
        <v>148</v>
      </c>
      <c r="D20" s="20">
        <v>55.5</v>
      </c>
      <c r="E20" s="20">
        <v>144</v>
      </c>
      <c r="F20" s="20">
        <v>61.8</v>
      </c>
      <c r="G20" s="20">
        <v>122</v>
      </c>
      <c r="H20" s="20">
        <v>237</v>
      </c>
      <c r="I20" s="9">
        <v>2500000</v>
      </c>
      <c r="J20">
        <v>42.5</v>
      </c>
      <c r="K20">
        <v>32.9</v>
      </c>
      <c r="L20" s="6">
        <f t="shared" si="0"/>
        <v>9.6000000000000014</v>
      </c>
      <c r="M20">
        <v>93.6</v>
      </c>
      <c r="N20">
        <v>74.3</v>
      </c>
      <c r="O20" s="20">
        <v>109.6</v>
      </c>
      <c r="P20" s="20">
        <v>2.4</v>
      </c>
      <c r="Q20" s="20">
        <v>0.9</v>
      </c>
      <c r="R20" s="20">
        <f t="shared" ref="R20:R22" si="3">1-($Q20/$P20)</f>
        <v>0.625</v>
      </c>
      <c r="S20" s="20">
        <f t="shared" si="1"/>
        <v>1.5</v>
      </c>
      <c r="T20" s="20">
        <v>0.81</v>
      </c>
      <c r="U20" s="20">
        <f>AVERAGE(33.9,31.7)</f>
        <v>32.799999999999997</v>
      </c>
      <c r="V20" s="20">
        <v>26.5</v>
      </c>
      <c r="W20" s="20"/>
      <c r="X20" t="s">
        <v>209</v>
      </c>
      <c r="Y20" t="s">
        <v>170</v>
      </c>
      <c r="Z20">
        <v>210</v>
      </c>
      <c r="AA20" s="7">
        <f t="shared" si="2"/>
        <v>16</v>
      </c>
      <c r="AB20" t="s">
        <v>211</v>
      </c>
    </row>
    <row r="21" spans="1:29" x14ac:dyDescent="0.35">
      <c r="A21" t="s">
        <v>174</v>
      </c>
      <c r="B21" s="22" t="s">
        <v>12</v>
      </c>
      <c r="C21" s="22" t="s">
        <v>164</v>
      </c>
      <c r="D21" s="22">
        <v>50.1</v>
      </c>
      <c r="E21" s="22">
        <v>141</v>
      </c>
      <c r="F21" s="22">
        <v>54.6</v>
      </c>
      <c r="G21" s="22">
        <v>137</v>
      </c>
      <c r="H21" s="22">
        <v>269</v>
      </c>
      <c r="I21">
        <v>2700000</v>
      </c>
      <c r="J21">
        <v>45.5</v>
      </c>
      <c r="K21">
        <v>35</v>
      </c>
      <c r="L21" s="6">
        <f t="shared" si="0"/>
        <v>10.5</v>
      </c>
      <c r="M21">
        <v>93.4</v>
      </c>
      <c r="N21">
        <v>70.400000000000006</v>
      </c>
      <c r="O21" s="22">
        <v>122.9</v>
      </c>
      <c r="P21" s="22">
        <v>3.1</v>
      </c>
      <c r="Q21" s="22">
        <v>0.9</v>
      </c>
      <c r="R21" s="22">
        <f t="shared" si="3"/>
        <v>0.70967741935483875</v>
      </c>
      <c r="S21" s="22">
        <f t="shared" si="1"/>
        <v>2.2000000000000002</v>
      </c>
      <c r="T21" s="22">
        <v>0.77</v>
      </c>
      <c r="U21" s="22">
        <v>38.1</v>
      </c>
      <c r="V21" s="22">
        <v>22</v>
      </c>
      <c r="W21" s="22">
        <v>13.1</v>
      </c>
      <c r="X21" t="s">
        <v>214</v>
      </c>
      <c r="Y21" t="s">
        <v>170</v>
      </c>
      <c r="Z21">
        <v>235</v>
      </c>
      <c r="AA21" s="16">
        <f t="shared" si="2"/>
        <v>29.5</v>
      </c>
      <c r="AB21" t="s">
        <v>215</v>
      </c>
      <c r="AC21" t="s">
        <v>242</v>
      </c>
    </row>
    <row r="22" spans="1:29" x14ac:dyDescent="0.35">
      <c r="A22" t="s">
        <v>172</v>
      </c>
      <c r="B22" s="21" t="s">
        <v>12</v>
      </c>
      <c r="C22" s="21" t="s">
        <v>162</v>
      </c>
      <c r="D22" s="21">
        <v>67.5</v>
      </c>
      <c r="E22" s="21">
        <v>136</v>
      </c>
      <c r="F22" s="21">
        <v>74.2</v>
      </c>
      <c r="G22" s="21">
        <v>100</v>
      </c>
      <c r="H22" s="21">
        <v>224</v>
      </c>
      <c r="I22" s="9">
        <v>2100000</v>
      </c>
      <c r="J22">
        <v>33.700000000000003</v>
      </c>
      <c r="K22">
        <v>24</v>
      </c>
      <c r="L22" s="6">
        <f t="shared" si="0"/>
        <v>9.7000000000000028</v>
      </c>
      <c r="M22">
        <v>93</v>
      </c>
      <c r="N22">
        <v>71.599999999999994</v>
      </c>
      <c r="O22" s="21">
        <v>109.1</v>
      </c>
      <c r="P22" s="21">
        <v>3.9</v>
      </c>
      <c r="Q22" s="21">
        <v>1.1000000000000001</v>
      </c>
      <c r="R22" s="21">
        <f t="shared" si="3"/>
        <v>0.71794871794871784</v>
      </c>
      <c r="S22" s="21">
        <f t="shared" si="1"/>
        <v>2.8</v>
      </c>
      <c r="T22" s="21">
        <v>0.65</v>
      </c>
      <c r="U22" s="21">
        <v>41.8</v>
      </c>
      <c r="V22" s="21">
        <v>8.9</v>
      </c>
      <c r="W22" s="21">
        <v>7.8</v>
      </c>
      <c r="X22" t="s">
        <v>279</v>
      </c>
      <c r="Y22" t="s">
        <v>169</v>
      </c>
      <c r="Z22">
        <v>210</v>
      </c>
      <c r="AA22" s="17">
        <f t="shared" si="2"/>
        <v>16.099999999999994</v>
      </c>
      <c r="AB22" t="s">
        <v>213</v>
      </c>
      <c r="AC22" t="s">
        <v>239</v>
      </c>
    </row>
    <row r="23" spans="1:29" hidden="1" x14ac:dyDescent="0.35">
      <c r="I23" s="5">
        <f>SUM($I$18:$I$22)</f>
        <v>12900000</v>
      </c>
    </row>
    <row r="24" spans="1:29" x14ac:dyDescent="0.35">
      <c r="A24" s="4" t="s">
        <v>177</v>
      </c>
      <c r="B24" s="4" t="s">
        <v>48</v>
      </c>
      <c r="C24" s="4" t="s">
        <v>49</v>
      </c>
      <c r="D24" s="4" t="s">
        <v>2</v>
      </c>
      <c r="E24" s="4" t="s">
        <v>5</v>
      </c>
      <c r="F24" s="4" t="s">
        <v>3</v>
      </c>
      <c r="G24" s="4" t="s">
        <v>4</v>
      </c>
      <c r="H24" s="4" t="s">
        <v>204</v>
      </c>
      <c r="I24" s="4" t="s">
        <v>154</v>
      </c>
      <c r="J24" s="4" t="s">
        <v>180</v>
      </c>
      <c r="K24" s="4" t="s">
        <v>181</v>
      </c>
      <c r="L24" s="4" t="s">
        <v>184</v>
      </c>
      <c r="M24" s="4" t="s">
        <v>182</v>
      </c>
      <c r="N24" s="4" t="s">
        <v>183</v>
      </c>
      <c r="O24" s="4" t="s">
        <v>198</v>
      </c>
      <c r="P24" s="4" t="s">
        <v>201</v>
      </c>
      <c r="Q24" s="4" t="s">
        <v>221</v>
      </c>
      <c r="R24" s="4" t="s">
        <v>222</v>
      </c>
      <c r="S24" s="4" t="s">
        <v>223</v>
      </c>
      <c r="T24" s="4" t="s">
        <v>200</v>
      </c>
      <c r="U24" s="4" t="s">
        <v>224</v>
      </c>
      <c r="V24" s="4" t="s">
        <v>237</v>
      </c>
      <c r="W24" s="4" t="s">
        <v>238</v>
      </c>
      <c r="X24" s="4" t="s">
        <v>185</v>
      </c>
      <c r="Y24" s="4" t="s">
        <v>196</v>
      </c>
      <c r="Z24" s="4" t="s">
        <v>197</v>
      </c>
      <c r="AA24" s="4" t="s">
        <v>203</v>
      </c>
      <c r="AB24" s="4" t="s">
        <v>216</v>
      </c>
      <c r="AC24" s="4" t="s">
        <v>241</v>
      </c>
    </row>
    <row r="25" spans="1:29" x14ac:dyDescent="0.35">
      <c r="A25" t="s">
        <v>171</v>
      </c>
      <c r="B25" s="12" t="s">
        <v>12</v>
      </c>
      <c r="C25" s="12" t="s">
        <v>178</v>
      </c>
      <c r="D25" s="14">
        <v>77.400000000000006</v>
      </c>
      <c r="E25" s="14">
        <v>148</v>
      </c>
      <c r="F25" s="14">
        <v>77.2</v>
      </c>
      <c r="G25">
        <v>118</v>
      </c>
      <c r="H25" s="14">
        <v>173</v>
      </c>
      <c r="I25">
        <v>3800000</v>
      </c>
      <c r="J25">
        <v>37.200000000000003</v>
      </c>
      <c r="K25">
        <v>28.3</v>
      </c>
      <c r="L25" s="6">
        <f t="shared" ref="L25:L28" si="4">$J25-$K25</f>
        <v>8.9000000000000021</v>
      </c>
      <c r="M25">
        <v>93.6</v>
      </c>
      <c r="N25">
        <v>74.8</v>
      </c>
      <c r="O25">
        <v>105.9</v>
      </c>
      <c r="P25">
        <v>2.1</v>
      </c>
      <c r="Q25">
        <v>0.8</v>
      </c>
      <c r="R25" s="28">
        <f t="shared" ref="R25:R30" si="5">1-($Q25/$P25)</f>
        <v>0.61904761904761907</v>
      </c>
      <c r="S25" s="28">
        <f t="shared" ref="S25:S30" si="6">$P25-$Q25</f>
        <v>1.3</v>
      </c>
      <c r="T25" s="14">
        <v>0.69</v>
      </c>
      <c r="U25" s="14">
        <v>37</v>
      </c>
      <c r="V25" s="14">
        <v>21.1</v>
      </c>
      <c r="W25">
        <v>16.7</v>
      </c>
      <c r="X25" s="1" t="s">
        <v>189</v>
      </c>
      <c r="Y25" s="1" t="s">
        <v>169</v>
      </c>
      <c r="Z25">
        <v>155</v>
      </c>
      <c r="AA25">
        <f t="shared" ref="AA25:AA30" si="7">$O25-$M25</f>
        <v>12.300000000000011</v>
      </c>
      <c r="AB25" t="s">
        <v>217</v>
      </c>
    </row>
    <row r="26" spans="1:29" x14ac:dyDescent="0.35">
      <c r="A26" t="s">
        <v>192</v>
      </c>
      <c r="B26" s="1" t="s">
        <v>27</v>
      </c>
      <c r="C26" s="1" t="s">
        <v>166</v>
      </c>
      <c r="D26" s="17">
        <v>73</v>
      </c>
      <c r="E26" s="16">
        <v>160</v>
      </c>
      <c r="F26" s="17">
        <v>73.8</v>
      </c>
      <c r="G26" s="16">
        <v>144</v>
      </c>
      <c r="H26" s="17">
        <v>218</v>
      </c>
      <c r="I26">
        <v>3800000</v>
      </c>
      <c r="J26">
        <v>45.1</v>
      </c>
      <c r="K26">
        <v>37</v>
      </c>
      <c r="L26" s="6">
        <f t="shared" si="4"/>
        <v>8.1000000000000014</v>
      </c>
      <c r="M26">
        <v>93.7</v>
      </c>
      <c r="N26">
        <v>74.3</v>
      </c>
      <c r="O26">
        <v>117.9</v>
      </c>
      <c r="P26">
        <v>3</v>
      </c>
      <c r="Q26">
        <v>0.9</v>
      </c>
      <c r="R26" s="25">
        <f t="shared" si="5"/>
        <v>0.7</v>
      </c>
      <c r="S26" s="25">
        <f t="shared" si="6"/>
        <v>2.1</v>
      </c>
      <c r="T26" s="16">
        <v>0.8</v>
      </c>
      <c r="U26" s="7">
        <v>30.8</v>
      </c>
      <c r="V26" s="7">
        <v>18.8</v>
      </c>
      <c r="W26">
        <v>20.7</v>
      </c>
      <c r="X26" s="1" t="s">
        <v>188</v>
      </c>
      <c r="Y26" s="1" t="s">
        <v>169</v>
      </c>
      <c r="Z26">
        <v>202</v>
      </c>
      <c r="AA26" s="24">
        <f t="shared" si="7"/>
        <v>24.200000000000003</v>
      </c>
      <c r="AB26" t="s">
        <v>218</v>
      </c>
      <c r="AC26" t="s">
        <v>240</v>
      </c>
    </row>
    <row r="27" spans="1:29" x14ac:dyDescent="0.35">
      <c r="A27" t="s">
        <v>174</v>
      </c>
      <c r="B27" s="1" t="s">
        <v>27</v>
      </c>
      <c r="C27" s="1" t="s">
        <v>226</v>
      </c>
      <c r="D27" s="16">
        <v>67.8</v>
      </c>
      <c r="E27" s="16">
        <v>154</v>
      </c>
      <c r="F27" s="16">
        <v>67.5</v>
      </c>
      <c r="G27" s="16">
        <v>153</v>
      </c>
      <c r="H27" s="16">
        <v>235</v>
      </c>
      <c r="I27">
        <v>3400000</v>
      </c>
      <c r="J27">
        <v>45.8</v>
      </c>
      <c r="K27">
        <v>37.700000000000003</v>
      </c>
      <c r="L27" s="6">
        <f>$J27-$K27</f>
        <v>8.0999999999999943</v>
      </c>
      <c r="M27">
        <v>95.7</v>
      </c>
      <c r="N27">
        <v>71.599999999999994</v>
      </c>
      <c r="O27">
        <v>120.7</v>
      </c>
      <c r="P27">
        <v>2.4</v>
      </c>
      <c r="Q27">
        <v>0.5</v>
      </c>
      <c r="R27" s="27">
        <f>1-($Q27/$P27)</f>
        <v>0.79166666666666663</v>
      </c>
      <c r="S27" s="25">
        <f>$P27-$Q27</f>
        <v>1.9</v>
      </c>
      <c r="T27" s="16">
        <v>0.96</v>
      </c>
      <c r="U27" s="16">
        <f>AVERAGE(22.8,37)</f>
        <v>29.9</v>
      </c>
      <c r="V27" s="16">
        <v>16.5</v>
      </c>
      <c r="W27">
        <v>18.2</v>
      </c>
      <c r="X27" s="5" t="s">
        <v>229</v>
      </c>
      <c r="Y27" s="1" t="s">
        <v>170</v>
      </c>
      <c r="Z27">
        <v>210</v>
      </c>
      <c r="AA27">
        <f>$O27-$M27</f>
        <v>25</v>
      </c>
      <c r="AB27" t="s">
        <v>232</v>
      </c>
    </row>
    <row r="28" spans="1:29" x14ac:dyDescent="0.35">
      <c r="A28" t="s">
        <v>174</v>
      </c>
      <c r="B28" s="1" t="s">
        <v>0</v>
      </c>
      <c r="C28" s="1" t="s">
        <v>175</v>
      </c>
      <c r="D28" s="16">
        <v>67.099999999999994</v>
      </c>
      <c r="E28" s="16">
        <v>147</v>
      </c>
      <c r="F28" s="16">
        <v>68.8</v>
      </c>
      <c r="G28">
        <v>131</v>
      </c>
      <c r="H28">
        <v>289</v>
      </c>
      <c r="I28">
        <v>2700000</v>
      </c>
      <c r="J28">
        <v>42.3</v>
      </c>
      <c r="K28">
        <v>32.700000000000003</v>
      </c>
      <c r="L28" s="6">
        <f t="shared" si="4"/>
        <v>9.5999999999999943</v>
      </c>
      <c r="M28">
        <v>94.6</v>
      </c>
      <c r="N28">
        <v>71.099999999999994</v>
      </c>
      <c r="O28">
        <v>117</v>
      </c>
      <c r="P28">
        <v>2.9</v>
      </c>
      <c r="Q28">
        <v>0.8</v>
      </c>
      <c r="R28" s="27">
        <f t="shared" si="5"/>
        <v>0.72413793103448276</v>
      </c>
      <c r="S28" s="25">
        <f t="shared" si="6"/>
        <v>2.0999999999999996</v>
      </c>
      <c r="T28">
        <v>0.42</v>
      </c>
      <c r="U28" s="16">
        <v>32.5</v>
      </c>
      <c r="V28" s="16">
        <v>19.8</v>
      </c>
      <c r="W28">
        <v>14.5</v>
      </c>
      <c r="X28" s="5" t="s">
        <v>205</v>
      </c>
      <c r="Y28" s="1" t="s">
        <v>195</v>
      </c>
      <c r="Z28">
        <v>240</v>
      </c>
      <c r="AA28" s="16">
        <f t="shared" si="7"/>
        <v>22.400000000000006</v>
      </c>
      <c r="AB28" t="s">
        <v>220</v>
      </c>
    </row>
    <row r="29" spans="1:29" x14ac:dyDescent="0.35">
      <c r="A29" t="s">
        <v>192</v>
      </c>
      <c r="B29" s="1" t="s">
        <v>22</v>
      </c>
      <c r="C29" s="1" t="s">
        <v>176</v>
      </c>
      <c r="D29" s="17">
        <v>70.599999999999994</v>
      </c>
      <c r="E29">
        <v>137</v>
      </c>
      <c r="F29" s="17">
        <v>74.7</v>
      </c>
      <c r="G29">
        <v>122</v>
      </c>
      <c r="H29">
        <v>241</v>
      </c>
      <c r="I29" s="9">
        <v>2400000</v>
      </c>
      <c r="J29">
        <v>40.700000000000003</v>
      </c>
      <c r="K29">
        <v>32.700000000000003</v>
      </c>
      <c r="L29" s="6">
        <f>$J29-$K29</f>
        <v>8</v>
      </c>
      <c r="M29">
        <v>94</v>
      </c>
      <c r="N29">
        <v>72.2</v>
      </c>
      <c r="O29">
        <v>123.4</v>
      </c>
      <c r="P29">
        <v>2.2999999999999998</v>
      </c>
      <c r="Q29">
        <v>0.5</v>
      </c>
      <c r="R29" s="29">
        <f t="shared" si="5"/>
        <v>0.78260869565217384</v>
      </c>
      <c r="S29" s="25">
        <f t="shared" si="6"/>
        <v>1.7999999999999998</v>
      </c>
      <c r="T29">
        <v>0.51</v>
      </c>
      <c r="U29">
        <v>40.200000000000003</v>
      </c>
      <c r="V29" s="7">
        <v>16.600000000000001</v>
      </c>
      <c r="W29">
        <v>14.5</v>
      </c>
      <c r="X29" s="5" t="s">
        <v>199</v>
      </c>
      <c r="Y29" s="7" t="s">
        <v>193</v>
      </c>
      <c r="Z29">
        <v>212</v>
      </c>
      <c r="AA29">
        <f t="shared" si="7"/>
        <v>29.400000000000006</v>
      </c>
      <c r="AB29" t="s">
        <v>219</v>
      </c>
    </row>
    <row r="30" spans="1:29" x14ac:dyDescent="0.35">
      <c r="A30" t="s">
        <v>192</v>
      </c>
      <c r="B30" s="1" t="s">
        <v>12</v>
      </c>
      <c r="C30" s="1" t="s">
        <v>165</v>
      </c>
      <c r="D30" s="16">
        <v>65.2</v>
      </c>
      <c r="E30">
        <v>136</v>
      </c>
      <c r="F30" s="16">
        <v>73.599999999999994</v>
      </c>
      <c r="G30">
        <v>99</v>
      </c>
      <c r="H30" s="16">
        <v>261</v>
      </c>
      <c r="I30" s="9">
        <v>2300000</v>
      </c>
      <c r="J30">
        <v>37.4</v>
      </c>
      <c r="K30">
        <v>25.9</v>
      </c>
      <c r="L30" s="16">
        <f>$J30-$K30</f>
        <v>11.5</v>
      </c>
      <c r="M30">
        <v>96</v>
      </c>
      <c r="N30">
        <v>72.3</v>
      </c>
      <c r="O30">
        <v>112.6</v>
      </c>
      <c r="P30" s="16">
        <v>3.8</v>
      </c>
      <c r="Q30">
        <v>1.3</v>
      </c>
      <c r="R30" s="25">
        <f t="shared" si="5"/>
        <v>0.65789473684210531</v>
      </c>
      <c r="S30" s="27">
        <f t="shared" si="6"/>
        <v>2.5</v>
      </c>
      <c r="T30">
        <v>0.61</v>
      </c>
      <c r="U30" s="16">
        <v>32.299999999999997</v>
      </c>
      <c r="V30" s="16">
        <v>17.8</v>
      </c>
      <c r="W30">
        <v>9.6999999999999993</v>
      </c>
      <c r="X30" s="5" t="s">
        <v>202</v>
      </c>
      <c r="Y30" s="7" t="s">
        <v>193</v>
      </c>
      <c r="Z30">
        <v>230</v>
      </c>
      <c r="AA30">
        <f t="shared" si="7"/>
        <v>16.599999999999994</v>
      </c>
      <c r="AB30" t="s">
        <v>219</v>
      </c>
    </row>
    <row r="31" spans="1:29" x14ac:dyDescent="0.35">
      <c r="A31" s="4" t="s">
        <v>177</v>
      </c>
      <c r="B31" s="4" t="s">
        <v>48</v>
      </c>
      <c r="C31" s="4" t="s">
        <v>49</v>
      </c>
      <c r="D31" s="4" t="s">
        <v>2</v>
      </c>
      <c r="E31" s="4" t="s">
        <v>5</v>
      </c>
      <c r="F31" s="4" t="s">
        <v>3</v>
      </c>
      <c r="G31" s="4" t="s">
        <v>4</v>
      </c>
      <c r="H31" s="4" t="s">
        <v>204</v>
      </c>
      <c r="I31" s="4" t="s">
        <v>154</v>
      </c>
      <c r="J31" s="4" t="s">
        <v>180</v>
      </c>
      <c r="K31" s="4" t="s">
        <v>181</v>
      </c>
      <c r="L31" s="4" t="s">
        <v>184</v>
      </c>
      <c r="M31" s="4" t="s">
        <v>182</v>
      </c>
      <c r="N31" s="4" t="s">
        <v>183</v>
      </c>
      <c r="O31" s="4" t="s">
        <v>198</v>
      </c>
      <c r="P31" s="4" t="s">
        <v>201</v>
      </c>
      <c r="Q31" s="4" t="s">
        <v>221</v>
      </c>
      <c r="R31" s="4" t="s">
        <v>222</v>
      </c>
      <c r="S31" s="4" t="s">
        <v>223</v>
      </c>
      <c r="T31" s="4" t="s">
        <v>200</v>
      </c>
      <c r="U31" s="4" t="s">
        <v>224</v>
      </c>
      <c r="V31" s="4" t="s">
        <v>237</v>
      </c>
      <c r="W31" s="4" t="s">
        <v>238</v>
      </c>
      <c r="X31" s="4" t="s">
        <v>185</v>
      </c>
      <c r="Y31" s="4" t="s">
        <v>196</v>
      </c>
      <c r="Z31" s="4" t="s">
        <v>197</v>
      </c>
      <c r="AA31" s="4" t="s">
        <v>203</v>
      </c>
    </row>
    <row r="32" spans="1:29" x14ac:dyDescent="0.35">
      <c r="A32" t="s">
        <v>172</v>
      </c>
      <c r="B32" s="1" t="s">
        <v>10</v>
      </c>
      <c r="C32" s="1" t="s">
        <v>160</v>
      </c>
      <c r="D32">
        <v>59.8</v>
      </c>
      <c r="E32" s="17">
        <v>145</v>
      </c>
      <c r="F32">
        <v>67.3</v>
      </c>
      <c r="G32" s="17">
        <v>105</v>
      </c>
      <c r="H32" s="17">
        <v>220</v>
      </c>
      <c r="I32" s="9">
        <v>2500000</v>
      </c>
      <c r="J32">
        <v>33</v>
      </c>
      <c r="K32">
        <v>26.7</v>
      </c>
      <c r="L32" s="2">
        <f t="shared" ref="L32:L41" si="8">$J32-$K32</f>
        <v>6.3000000000000007</v>
      </c>
      <c r="M32">
        <v>96.1</v>
      </c>
      <c r="N32">
        <v>75</v>
      </c>
      <c r="O32">
        <v>114.9</v>
      </c>
      <c r="P32">
        <v>2.6</v>
      </c>
      <c r="Q32">
        <v>0.8</v>
      </c>
      <c r="R32" s="25">
        <f t="shared" ref="R32:R35" si="9">1-($Q32/$P32)</f>
        <v>0.69230769230769229</v>
      </c>
      <c r="S32" s="25">
        <f t="shared" ref="S32:S35" si="10">$P32-$Q32</f>
        <v>1.8</v>
      </c>
      <c r="T32">
        <v>0.5</v>
      </c>
      <c r="U32">
        <v>25.7</v>
      </c>
      <c r="V32">
        <v>11.7</v>
      </c>
      <c r="W32">
        <v>10.8</v>
      </c>
      <c r="X32" s="7" t="s">
        <v>233</v>
      </c>
      <c r="Y32" t="s">
        <v>170</v>
      </c>
      <c r="AA32">
        <f>$O32-$M32</f>
        <v>18.800000000000011</v>
      </c>
    </row>
    <row r="33" spans="1:27" x14ac:dyDescent="0.35">
      <c r="A33" t="s">
        <v>172</v>
      </c>
      <c r="B33" s="1" t="s">
        <v>0</v>
      </c>
      <c r="C33" s="1" t="s">
        <v>72</v>
      </c>
      <c r="D33">
        <v>64.400000000000006</v>
      </c>
      <c r="E33">
        <v>125</v>
      </c>
      <c r="F33">
        <v>70.8</v>
      </c>
      <c r="G33">
        <v>79</v>
      </c>
      <c r="H33">
        <v>244</v>
      </c>
      <c r="I33">
        <v>2850000</v>
      </c>
      <c r="J33">
        <v>33</v>
      </c>
      <c r="K33">
        <v>23.6</v>
      </c>
      <c r="L33" s="2">
        <f t="shared" si="8"/>
        <v>9.3999999999999986</v>
      </c>
      <c r="M33">
        <v>93.9</v>
      </c>
      <c r="N33">
        <v>71.599999999999994</v>
      </c>
      <c r="O33">
        <v>116.5</v>
      </c>
      <c r="P33">
        <v>2.7</v>
      </c>
      <c r="Q33">
        <v>1.2</v>
      </c>
      <c r="R33" s="25">
        <f t="shared" si="9"/>
        <v>0.55555555555555558</v>
      </c>
      <c r="S33" s="25">
        <f t="shared" si="10"/>
        <v>1.5000000000000002</v>
      </c>
      <c r="T33">
        <v>0.42</v>
      </c>
      <c r="U33">
        <v>33.9</v>
      </c>
      <c r="V33">
        <v>10.5</v>
      </c>
      <c r="X33" s="7" t="s">
        <v>232</v>
      </c>
      <c r="Y33" t="s">
        <v>193</v>
      </c>
      <c r="AA33">
        <f>$O33-$M33</f>
        <v>22.599999999999994</v>
      </c>
    </row>
    <row r="34" spans="1:27" x14ac:dyDescent="0.35">
      <c r="A34" t="s">
        <v>192</v>
      </c>
      <c r="B34" s="1" t="s">
        <v>7</v>
      </c>
      <c r="C34" s="1" t="s">
        <v>179</v>
      </c>
      <c r="D34" s="17">
        <v>74.3</v>
      </c>
      <c r="E34" s="16">
        <v>147</v>
      </c>
      <c r="F34">
        <v>73.5</v>
      </c>
      <c r="G34">
        <v>126</v>
      </c>
      <c r="H34" s="17">
        <v>223</v>
      </c>
      <c r="I34" s="9">
        <v>2500000</v>
      </c>
      <c r="J34">
        <v>36.1</v>
      </c>
      <c r="K34">
        <v>28.1</v>
      </c>
      <c r="L34" s="6">
        <f t="shared" si="8"/>
        <v>8</v>
      </c>
      <c r="M34">
        <v>97.5</v>
      </c>
      <c r="N34">
        <v>71.599999999999994</v>
      </c>
      <c r="O34">
        <v>116.3</v>
      </c>
      <c r="P34">
        <v>1.6</v>
      </c>
      <c r="Q34">
        <v>0.6</v>
      </c>
      <c r="R34" s="25">
        <f t="shared" si="9"/>
        <v>0.625</v>
      </c>
      <c r="S34" s="25">
        <f t="shared" si="10"/>
        <v>1</v>
      </c>
      <c r="T34">
        <v>0.4</v>
      </c>
      <c r="U34" s="17">
        <v>43.5</v>
      </c>
      <c r="V34">
        <v>9.8000000000000007</v>
      </c>
      <c r="X34" s="7" t="s">
        <v>206</v>
      </c>
      <c r="Y34" s="1" t="s">
        <v>194</v>
      </c>
      <c r="AA34">
        <f t="shared" ref="AA34:AA35" si="11">$O34-$M34</f>
        <v>18.799999999999997</v>
      </c>
    </row>
    <row r="35" spans="1:27" x14ac:dyDescent="0.35">
      <c r="A35" t="s">
        <v>171</v>
      </c>
      <c r="B35" s="12" t="s">
        <v>7</v>
      </c>
      <c r="C35" s="12" t="s">
        <v>158</v>
      </c>
      <c r="D35">
        <v>74</v>
      </c>
      <c r="E35">
        <v>129</v>
      </c>
      <c r="F35" s="14">
        <v>79.5</v>
      </c>
      <c r="G35">
        <v>95</v>
      </c>
      <c r="H35" s="13">
        <v>184</v>
      </c>
      <c r="I35">
        <v>3200000</v>
      </c>
      <c r="J35">
        <v>30.6</v>
      </c>
      <c r="K35">
        <v>23.7</v>
      </c>
      <c r="L35" s="2">
        <f t="shared" si="8"/>
        <v>6.9000000000000021</v>
      </c>
      <c r="M35">
        <v>93.4</v>
      </c>
      <c r="N35">
        <v>71.400000000000006</v>
      </c>
      <c r="O35">
        <v>112.5</v>
      </c>
      <c r="P35">
        <v>1.1000000000000001</v>
      </c>
      <c r="Q35">
        <v>1.1000000000000001</v>
      </c>
      <c r="R35" s="25">
        <f t="shared" si="9"/>
        <v>0</v>
      </c>
      <c r="S35" s="25">
        <f t="shared" si="10"/>
        <v>0</v>
      </c>
      <c r="T35" s="14">
        <v>0.7</v>
      </c>
      <c r="U35">
        <f>AVERAGE(28.9,28.5)</f>
        <v>28.7</v>
      </c>
      <c r="V35">
        <v>16.399999999999999</v>
      </c>
      <c r="X35" s="7" t="s">
        <v>187</v>
      </c>
      <c r="Y35" s="1" t="s">
        <v>194</v>
      </c>
      <c r="AA35">
        <f t="shared" si="11"/>
        <v>19.099999999999994</v>
      </c>
    </row>
    <row r="36" spans="1:27" x14ac:dyDescent="0.35">
      <c r="A36" t="s">
        <v>171</v>
      </c>
      <c r="B36" s="12" t="s">
        <v>12</v>
      </c>
      <c r="C36" s="12" t="s">
        <v>157</v>
      </c>
      <c r="D36" s="14">
        <v>80.400000000000006</v>
      </c>
      <c r="E36" s="14">
        <v>148</v>
      </c>
      <c r="F36" s="14">
        <v>82.6</v>
      </c>
      <c r="G36" s="14">
        <v>124</v>
      </c>
      <c r="H36" s="14">
        <v>173</v>
      </c>
      <c r="I36">
        <v>4300000</v>
      </c>
      <c r="J36">
        <v>38.5</v>
      </c>
      <c r="K36">
        <v>30.2</v>
      </c>
      <c r="L36" s="6">
        <f t="shared" si="8"/>
        <v>8.3000000000000007</v>
      </c>
      <c r="M36">
        <v>92.9</v>
      </c>
      <c r="N36">
        <v>72.3</v>
      </c>
      <c r="O36">
        <v>111.6</v>
      </c>
      <c r="P36">
        <v>1.5</v>
      </c>
      <c r="Q36">
        <v>3.1</v>
      </c>
      <c r="R36" s="25">
        <f t="shared" ref="R36:R41" si="12">1-($Q36/$P36)</f>
        <v>-1.0666666666666669</v>
      </c>
      <c r="S36" s="25">
        <f t="shared" ref="S36:S41" si="13">$P36-$Q36</f>
        <v>-1.6</v>
      </c>
      <c r="T36" s="14">
        <v>0.71</v>
      </c>
      <c r="U36" s="14">
        <f>AVERAGE(36.1,33.7)</f>
        <v>34.900000000000006</v>
      </c>
      <c r="V36">
        <v>23.1</v>
      </c>
      <c r="W36">
        <v>13.2</v>
      </c>
      <c r="X36" s="7" t="s">
        <v>190</v>
      </c>
      <c r="Y36" s="1" t="s">
        <v>169</v>
      </c>
      <c r="Z36">
        <v>155</v>
      </c>
      <c r="AA36">
        <f t="shared" ref="AA36:AA41" si="14">$O36-$M36</f>
        <v>18.699999999999989</v>
      </c>
    </row>
    <row r="37" spans="1:27" x14ac:dyDescent="0.35">
      <c r="A37" t="s">
        <v>171</v>
      </c>
      <c r="B37" s="12" t="s">
        <v>0</v>
      </c>
      <c r="C37" s="12" t="s">
        <v>21</v>
      </c>
      <c r="D37">
        <v>74.900000000000006</v>
      </c>
      <c r="E37">
        <v>144</v>
      </c>
      <c r="F37">
        <v>73.900000000000006</v>
      </c>
      <c r="G37">
        <v>113</v>
      </c>
      <c r="H37" s="14">
        <v>201</v>
      </c>
      <c r="I37">
        <v>4100000</v>
      </c>
      <c r="J37">
        <v>38.1</v>
      </c>
      <c r="K37">
        <v>29.6</v>
      </c>
      <c r="L37" s="6">
        <f t="shared" si="8"/>
        <v>8.5</v>
      </c>
      <c r="M37">
        <v>93.3</v>
      </c>
      <c r="N37">
        <v>75.3</v>
      </c>
      <c r="O37">
        <v>117.5</v>
      </c>
      <c r="P37">
        <v>1.9</v>
      </c>
      <c r="Q37">
        <v>3.2</v>
      </c>
      <c r="R37" s="25">
        <f t="shared" si="12"/>
        <v>-0.6842105263157896</v>
      </c>
      <c r="S37" s="25">
        <f t="shared" si="13"/>
        <v>-1.3000000000000003</v>
      </c>
      <c r="T37">
        <v>0.4</v>
      </c>
      <c r="U37" s="14">
        <f>AVERAGE(34.5,47.2)</f>
        <v>40.85</v>
      </c>
      <c r="V37">
        <v>28.4</v>
      </c>
      <c r="X37" s="5" t="s">
        <v>186</v>
      </c>
      <c r="Y37" s="7" t="s">
        <v>193</v>
      </c>
      <c r="Z37">
        <v>175</v>
      </c>
      <c r="AA37" s="14">
        <f t="shared" si="14"/>
        <v>24.200000000000003</v>
      </c>
    </row>
    <row r="38" spans="1:27" x14ac:dyDescent="0.35">
      <c r="A38" t="s">
        <v>172</v>
      </c>
      <c r="B38" s="1" t="s">
        <v>27</v>
      </c>
      <c r="C38" s="1" t="s">
        <v>74</v>
      </c>
      <c r="D38">
        <v>63.6</v>
      </c>
      <c r="E38">
        <v>141</v>
      </c>
      <c r="F38">
        <v>66.5</v>
      </c>
      <c r="G38">
        <v>134</v>
      </c>
      <c r="H38">
        <v>254</v>
      </c>
      <c r="I38">
        <v>2100000</v>
      </c>
      <c r="J38">
        <v>40.9</v>
      </c>
      <c r="K38">
        <v>33.5</v>
      </c>
      <c r="L38" s="6">
        <f t="shared" si="8"/>
        <v>7.3999999999999986</v>
      </c>
      <c r="M38">
        <v>97.5</v>
      </c>
      <c r="N38">
        <v>74.400000000000006</v>
      </c>
      <c r="O38">
        <v>122.3</v>
      </c>
      <c r="P38">
        <v>3.3</v>
      </c>
      <c r="Q38">
        <v>0.9</v>
      </c>
      <c r="R38" s="29">
        <f t="shared" si="12"/>
        <v>0.72727272727272729</v>
      </c>
      <c r="S38" s="25">
        <f t="shared" si="13"/>
        <v>2.4</v>
      </c>
      <c r="T38">
        <v>0.53</v>
      </c>
      <c r="U38">
        <v>30.3</v>
      </c>
      <c r="V38">
        <v>11.2</v>
      </c>
      <c r="X38" s="5" t="s">
        <v>227</v>
      </c>
      <c r="Y38" s="1" t="s">
        <v>228</v>
      </c>
      <c r="AA38">
        <f t="shared" si="14"/>
        <v>24.799999999999997</v>
      </c>
    </row>
    <row r="39" spans="1:27" x14ac:dyDescent="0.35">
      <c r="A39" t="s">
        <v>192</v>
      </c>
      <c r="B39" s="1" t="s">
        <v>27</v>
      </c>
      <c r="C39" s="1" t="s">
        <v>225</v>
      </c>
      <c r="D39">
        <v>68.900000000000006</v>
      </c>
      <c r="E39">
        <v>149</v>
      </c>
      <c r="F39">
        <v>68.900000000000006</v>
      </c>
      <c r="G39">
        <v>133</v>
      </c>
      <c r="H39">
        <v>255</v>
      </c>
      <c r="I39">
        <v>2900000</v>
      </c>
      <c r="J39">
        <v>45.4</v>
      </c>
      <c r="K39">
        <v>36.4</v>
      </c>
      <c r="L39" s="6">
        <f t="shared" si="8"/>
        <v>9</v>
      </c>
      <c r="M39">
        <v>92.8</v>
      </c>
      <c r="N39">
        <v>70.099999999999994</v>
      </c>
      <c r="O39">
        <v>115.2</v>
      </c>
      <c r="P39">
        <v>2</v>
      </c>
      <c r="Q39">
        <v>1</v>
      </c>
      <c r="R39" s="25">
        <f t="shared" si="12"/>
        <v>0.5</v>
      </c>
      <c r="S39" s="25">
        <f t="shared" si="13"/>
        <v>1</v>
      </c>
      <c r="T39" s="16">
        <v>0.79</v>
      </c>
      <c r="U39">
        <f>AVERAGE(37.5,39.9)</f>
        <v>38.700000000000003</v>
      </c>
      <c r="V39">
        <v>24.4</v>
      </c>
      <c r="W39">
        <v>21.5</v>
      </c>
      <c r="X39" s="5" t="s">
        <v>231</v>
      </c>
      <c r="Y39" s="1" t="s">
        <v>230</v>
      </c>
      <c r="AA39">
        <f t="shared" si="14"/>
        <v>22.400000000000006</v>
      </c>
    </row>
    <row r="40" spans="1:27" x14ac:dyDescent="0.35">
      <c r="A40" t="s">
        <v>192</v>
      </c>
      <c r="B40" s="1" t="s">
        <v>7</v>
      </c>
      <c r="C40" s="1" t="s">
        <v>167</v>
      </c>
      <c r="D40" s="17">
        <v>73.599999999999994</v>
      </c>
      <c r="E40" s="16">
        <v>154</v>
      </c>
      <c r="F40">
        <v>72.8</v>
      </c>
      <c r="G40" s="16">
        <v>145</v>
      </c>
      <c r="H40">
        <v>247</v>
      </c>
      <c r="I40">
        <v>3500000</v>
      </c>
      <c r="J40">
        <v>44.6</v>
      </c>
      <c r="K40">
        <v>38.1</v>
      </c>
      <c r="L40" s="2">
        <f t="shared" si="8"/>
        <v>6.5</v>
      </c>
      <c r="M40">
        <v>97.4</v>
      </c>
      <c r="N40">
        <v>71.400000000000006</v>
      </c>
      <c r="O40">
        <v>117.7</v>
      </c>
      <c r="P40">
        <v>2</v>
      </c>
      <c r="Q40">
        <v>0.6</v>
      </c>
      <c r="R40" s="25">
        <f t="shared" si="12"/>
        <v>0.7</v>
      </c>
      <c r="S40" s="25">
        <f t="shared" si="13"/>
        <v>1.4</v>
      </c>
      <c r="T40" s="16">
        <v>0.89</v>
      </c>
      <c r="U40" s="7">
        <v>32.5</v>
      </c>
      <c r="V40">
        <v>19.8</v>
      </c>
      <c r="X40" s="7" t="s">
        <v>187</v>
      </c>
      <c r="Y40" s="7" t="s">
        <v>193</v>
      </c>
      <c r="Z40">
        <v>221</v>
      </c>
      <c r="AA40">
        <f t="shared" si="14"/>
        <v>20.299999999999997</v>
      </c>
    </row>
    <row r="41" spans="1:27" x14ac:dyDescent="0.35">
      <c r="A41" t="s">
        <v>171</v>
      </c>
      <c r="B41" s="1" t="s">
        <v>27</v>
      </c>
      <c r="C41" s="1" t="s">
        <v>234</v>
      </c>
      <c r="D41" s="14">
        <v>78.5</v>
      </c>
      <c r="E41">
        <v>147</v>
      </c>
      <c r="F41" s="14">
        <v>78.2</v>
      </c>
      <c r="G41">
        <v>122</v>
      </c>
      <c r="H41" s="14">
        <v>163</v>
      </c>
      <c r="I41">
        <v>4000000</v>
      </c>
      <c r="J41">
        <v>38.700000000000003</v>
      </c>
      <c r="K41">
        <v>32.700000000000003</v>
      </c>
      <c r="L41" s="6">
        <f t="shared" si="8"/>
        <v>6</v>
      </c>
      <c r="M41">
        <v>90.5</v>
      </c>
      <c r="N41">
        <v>70.099999999999994</v>
      </c>
      <c r="O41">
        <v>114.9</v>
      </c>
      <c r="P41">
        <v>1.4</v>
      </c>
      <c r="Q41">
        <v>1.4</v>
      </c>
      <c r="R41" s="25">
        <f t="shared" si="12"/>
        <v>0</v>
      </c>
      <c r="S41" s="25">
        <f t="shared" si="13"/>
        <v>0</v>
      </c>
      <c r="T41">
        <v>0.66</v>
      </c>
      <c r="U41" s="14">
        <f>AVERAGE(31.9,38)</f>
        <v>34.950000000000003</v>
      </c>
      <c r="V41">
        <v>21.1</v>
      </c>
      <c r="W41">
        <v>17.899999999999999</v>
      </c>
      <c r="X41" s="5" t="s">
        <v>235</v>
      </c>
      <c r="Y41" s="1" t="s">
        <v>236</v>
      </c>
      <c r="AA41">
        <f t="shared" si="14"/>
        <v>24.400000000000006</v>
      </c>
    </row>
  </sheetData>
  <sortState xmlns:xlrd2="http://schemas.microsoft.com/office/spreadsheetml/2017/richdata2" ref="A25:I30">
    <sortCondition descending="1" ref="I25:I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D7DB-A43D-4E8B-BB41-782383B7CC35}">
  <dimension ref="A1:AB12"/>
  <sheetViews>
    <sheetView workbookViewId="0">
      <pane xSplit="3" ySplit="1" topLeftCell="O2" activePane="bottomRight" state="frozen"/>
      <selection pane="topRight" activeCell="D1" sqref="D1"/>
      <selection pane="bottomLeft" activeCell="A2" sqref="A2"/>
      <selection pane="bottomRight" activeCell="M9" sqref="M9"/>
    </sheetView>
  </sheetViews>
  <sheetFormatPr defaultRowHeight="14.5" x14ac:dyDescent="0.35"/>
  <cols>
    <col min="1" max="1" width="4.36328125" customWidth="1"/>
    <col min="2" max="2" width="7.7265625" customWidth="1"/>
    <col min="3" max="3" width="19.26953125" customWidth="1"/>
    <col min="4" max="4" width="5.7265625" customWidth="1"/>
    <col min="5" max="5" width="5.1796875" customWidth="1"/>
    <col min="6" max="6" width="5.7265625" customWidth="1"/>
    <col min="7" max="7" width="4.90625" customWidth="1"/>
    <col min="8" max="8" width="8.36328125" customWidth="1"/>
    <col min="10" max="11" width="5.6328125" customWidth="1"/>
    <col min="12" max="12" width="6.26953125" customWidth="1"/>
    <col min="13" max="13" width="6.54296875" customWidth="1"/>
    <col min="14" max="14" width="6" customWidth="1"/>
    <col min="15" max="15" width="6.54296875" customWidth="1"/>
    <col min="16" max="16" width="6.7265625" customWidth="1"/>
    <col min="17" max="17" width="5.90625" customWidth="1"/>
    <col min="18" max="18" width="6.54296875" customWidth="1"/>
    <col min="19" max="19" width="6.36328125" customWidth="1"/>
    <col min="20" max="20" width="5.453125" customWidth="1"/>
    <col min="21" max="21" width="6.453125" customWidth="1"/>
    <col min="22" max="22" width="7.08984375" customWidth="1"/>
    <col min="23" max="23" width="7.36328125" customWidth="1"/>
    <col min="24" max="24" width="19.08984375" customWidth="1"/>
    <col min="25" max="25" width="10.7265625" customWidth="1"/>
    <col min="26" max="26" width="8.453125" customWidth="1"/>
    <col min="28" max="28" width="46.08984375" customWidth="1"/>
  </cols>
  <sheetData>
    <row r="1" spans="1:28" x14ac:dyDescent="0.35">
      <c r="A1" s="4" t="s">
        <v>177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204</v>
      </c>
      <c r="I1" s="4" t="s">
        <v>154</v>
      </c>
      <c r="J1" s="4" t="s">
        <v>180</v>
      </c>
      <c r="K1" s="4" t="s">
        <v>181</v>
      </c>
      <c r="L1" s="4" t="s">
        <v>184</v>
      </c>
      <c r="M1" s="4" t="s">
        <v>182</v>
      </c>
      <c r="N1" s="4" t="s">
        <v>183</v>
      </c>
      <c r="O1" s="4" t="s">
        <v>198</v>
      </c>
      <c r="P1" s="4" t="s">
        <v>201</v>
      </c>
      <c r="Q1" s="4" t="s">
        <v>221</v>
      </c>
      <c r="R1" s="4" t="s">
        <v>222</v>
      </c>
      <c r="S1" s="4" t="s">
        <v>223</v>
      </c>
      <c r="T1" s="4" t="s">
        <v>200</v>
      </c>
      <c r="U1" s="4" t="s">
        <v>224</v>
      </c>
      <c r="V1" s="4" t="s">
        <v>237</v>
      </c>
      <c r="W1" s="4" t="s">
        <v>238</v>
      </c>
      <c r="X1" s="4" t="s">
        <v>185</v>
      </c>
      <c r="Y1" s="4" t="s">
        <v>168</v>
      </c>
      <c r="Z1" s="4" t="s">
        <v>197</v>
      </c>
      <c r="AA1" s="4" t="s">
        <v>203</v>
      </c>
      <c r="AB1" s="4" t="s">
        <v>241</v>
      </c>
    </row>
    <row r="2" spans="1:28" x14ac:dyDescent="0.35">
      <c r="A2" t="s">
        <v>192</v>
      </c>
      <c r="B2" s="1" t="s">
        <v>27</v>
      </c>
      <c r="C2" s="1" t="s">
        <v>166</v>
      </c>
      <c r="D2" s="25">
        <v>73</v>
      </c>
      <c r="E2" s="31">
        <v>160</v>
      </c>
      <c r="F2" s="25">
        <v>73.8</v>
      </c>
      <c r="G2" s="31">
        <v>144</v>
      </c>
      <c r="H2" s="25">
        <v>218</v>
      </c>
      <c r="I2">
        <v>3800000</v>
      </c>
      <c r="J2">
        <v>45.1</v>
      </c>
      <c r="K2">
        <v>37</v>
      </c>
      <c r="L2" s="6">
        <f t="shared" ref="L2:L12" si="0">$J2-$K2</f>
        <v>8.1000000000000014</v>
      </c>
      <c r="M2">
        <v>93.7</v>
      </c>
      <c r="N2">
        <v>74.3</v>
      </c>
      <c r="O2" s="25">
        <v>117.9</v>
      </c>
      <c r="P2" s="25">
        <v>3</v>
      </c>
      <c r="Q2" s="25">
        <v>0.9</v>
      </c>
      <c r="R2" s="25">
        <f t="shared" ref="R2:R12" si="1">1-($Q2/$P2)</f>
        <v>0.7</v>
      </c>
      <c r="S2" s="25">
        <f t="shared" ref="S2:S12" si="2">$P2-$Q2</f>
        <v>2.1</v>
      </c>
      <c r="T2" s="31">
        <v>0.8</v>
      </c>
      <c r="U2" s="25">
        <v>30.8</v>
      </c>
      <c r="V2" s="25">
        <v>18.8</v>
      </c>
      <c r="W2" s="31">
        <v>20.7</v>
      </c>
      <c r="X2" s="1" t="s">
        <v>188</v>
      </c>
      <c r="Y2" s="1" t="s">
        <v>169</v>
      </c>
      <c r="Z2">
        <v>202</v>
      </c>
      <c r="AA2">
        <f t="shared" ref="AA2:AA12" si="3">$O2-$M2</f>
        <v>24.200000000000003</v>
      </c>
      <c r="AB2" t="s">
        <v>240</v>
      </c>
    </row>
    <row r="3" spans="1:28" x14ac:dyDescent="0.35">
      <c r="A3" t="s">
        <v>174</v>
      </c>
      <c r="B3" s="22" t="s">
        <v>12</v>
      </c>
      <c r="C3" s="22" t="s">
        <v>164</v>
      </c>
      <c r="D3" s="25">
        <v>50.1</v>
      </c>
      <c r="E3" s="25">
        <v>141</v>
      </c>
      <c r="F3" s="25">
        <v>54.6</v>
      </c>
      <c r="G3" s="25">
        <v>137</v>
      </c>
      <c r="H3" s="25">
        <v>269</v>
      </c>
      <c r="I3">
        <v>2700000</v>
      </c>
      <c r="J3">
        <v>45.5</v>
      </c>
      <c r="K3">
        <v>35</v>
      </c>
      <c r="L3" s="6">
        <f t="shared" si="0"/>
        <v>10.5</v>
      </c>
      <c r="M3">
        <v>93.4</v>
      </c>
      <c r="N3">
        <v>70.400000000000006</v>
      </c>
      <c r="O3" s="25">
        <v>122.9</v>
      </c>
      <c r="P3" s="25">
        <v>3.1</v>
      </c>
      <c r="Q3" s="25">
        <v>0.9</v>
      </c>
      <c r="R3" s="25">
        <f t="shared" si="1"/>
        <v>0.70967741935483875</v>
      </c>
      <c r="S3" s="25">
        <f t="shared" si="2"/>
        <v>2.2000000000000002</v>
      </c>
      <c r="T3" s="25">
        <v>0.77</v>
      </c>
      <c r="U3" s="25">
        <v>38.1</v>
      </c>
      <c r="V3" s="25">
        <v>22</v>
      </c>
      <c r="W3" s="25">
        <v>13.1</v>
      </c>
      <c r="X3" t="s">
        <v>214</v>
      </c>
      <c r="Y3" t="s">
        <v>170</v>
      </c>
      <c r="Z3">
        <v>235</v>
      </c>
      <c r="AA3" s="24">
        <f t="shared" si="3"/>
        <v>29.5</v>
      </c>
      <c r="AB3" t="s">
        <v>242</v>
      </c>
    </row>
    <row r="4" spans="1:28" x14ac:dyDescent="0.35">
      <c r="A4" t="s">
        <v>172</v>
      </c>
      <c r="B4" s="21" t="s">
        <v>12</v>
      </c>
      <c r="C4" s="21" t="s">
        <v>162</v>
      </c>
      <c r="D4" s="25">
        <v>67.5</v>
      </c>
      <c r="E4" s="25">
        <v>136</v>
      </c>
      <c r="F4" s="25">
        <v>74.2</v>
      </c>
      <c r="G4" s="25">
        <v>100</v>
      </c>
      <c r="H4" s="25">
        <v>224</v>
      </c>
      <c r="I4" s="9">
        <v>2100000</v>
      </c>
      <c r="J4">
        <v>33.700000000000003</v>
      </c>
      <c r="K4">
        <v>24</v>
      </c>
      <c r="L4" s="6">
        <f t="shared" si="0"/>
        <v>9.7000000000000028</v>
      </c>
      <c r="M4">
        <v>93</v>
      </c>
      <c r="N4">
        <v>71.599999999999994</v>
      </c>
      <c r="O4" s="25">
        <v>109.1</v>
      </c>
      <c r="P4" s="31">
        <v>3.9</v>
      </c>
      <c r="Q4" s="25">
        <v>1.1000000000000001</v>
      </c>
      <c r="R4" s="31">
        <f t="shared" si="1"/>
        <v>0.71794871794871784</v>
      </c>
      <c r="S4" s="31">
        <f t="shared" si="2"/>
        <v>2.8</v>
      </c>
      <c r="T4" s="25">
        <v>0.65</v>
      </c>
      <c r="U4" s="31">
        <v>41.8</v>
      </c>
      <c r="V4" s="25">
        <v>8.9</v>
      </c>
      <c r="W4" s="25">
        <v>7.8</v>
      </c>
      <c r="X4" t="s">
        <v>279</v>
      </c>
      <c r="Y4" t="s">
        <v>169</v>
      </c>
      <c r="Z4">
        <v>210</v>
      </c>
      <c r="AA4">
        <f t="shared" si="3"/>
        <v>16.099999999999994</v>
      </c>
      <c r="AB4" t="s">
        <v>239</v>
      </c>
    </row>
    <row r="5" spans="1:28" x14ac:dyDescent="0.35">
      <c r="A5" t="s">
        <v>171</v>
      </c>
      <c r="B5" s="24" t="s">
        <v>12</v>
      </c>
      <c r="C5" s="24" t="s">
        <v>178</v>
      </c>
      <c r="D5" s="25">
        <v>77.400000000000006</v>
      </c>
      <c r="E5" s="25">
        <v>148</v>
      </c>
      <c r="F5" s="25">
        <v>77.2</v>
      </c>
      <c r="G5" s="25">
        <v>118</v>
      </c>
      <c r="H5" s="25">
        <v>173</v>
      </c>
      <c r="I5">
        <v>3800000</v>
      </c>
      <c r="J5">
        <v>37.200000000000003</v>
      </c>
      <c r="K5">
        <v>28.3</v>
      </c>
      <c r="L5" s="6">
        <f t="shared" si="0"/>
        <v>8.9000000000000021</v>
      </c>
      <c r="M5">
        <v>93.6</v>
      </c>
      <c r="N5">
        <v>74.8</v>
      </c>
      <c r="O5" s="25">
        <v>105.9</v>
      </c>
      <c r="P5" s="25">
        <v>2.1</v>
      </c>
      <c r="Q5" s="25">
        <v>0.8</v>
      </c>
      <c r="R5" s="25">
        <f t="shared" si="1"/>
        <v>0.61904761904761907</v>
      </c>
      <c r="S5" s="25">
        <f t="shared" si="2"/>
        <v>1.3</v>
      </c>
      <c r="T5" s="25">
        <v>0.69</v>
      </c>
      <c r="U5" s="25">
        <v>37</v>
      </c>
      <c r="V5" s="25">
        <v>21.1</v>
      </c>
      <c r="W5" s="25">
        <v>16.7</v>
      </c>
      <c r="X5" s="1" t="s">
        <v>189</v>
      </c>
      <c r="Y5" s="1" t="s">
        <v>169</v>
      </c>
      <c r="Z5">
        <v>155</v>
      </c>
      <c r="AA5">
        <f t="shared" si="3"/>
        <v>12.300000000000011</v>
      </c>
      <c r="AB5" t="s">
        <v>244</v>
      </c>
    </row>
    <row r="6" spans="1:28" x14ac:dyDescent="0.35">
      <c r="A6" t="s">
        <v>171</v>
      </c>
      <c r="B6" s="24" t="s">
        <v>27</v>
      </c>
      <c r="C6" s="24" t="s">
        <v>234</v>
      </c>
      <c r="D6" s="25">
        <v>78.5</v>
      </c>
      <c r="E6" s="25">
        <v>147</v>
      </c>
      <c r="F6" s="25">
        <v>78.2</v>
      </c>
      <c r="G6" s="25">
        <v>122</v>
      </c>
      <c r="H6" s="25">
        <v>163</v>
      </c>
      <c r="I6">
        <v>4000000</v>
      </c>
      <c r="J6">
        <v>38.700000000000003</v>
      </c>
      <c r="K6">
        <v>32.700000000000003</v>
      </c>
      <c r="L6" s="6">
        <f t="shared" si="0"/>
        <v>6</v>
      </c>
      <c r="M6">
        <v>90.5</v>
      </c>
      <c r="N6">
        <v>70.099999999999994</v>
      </c>
      <c r="O6" s="25">
        <v>114.9</v>
      </c>
      <c r="P6" s="25">
        <v>1.4</v>
      </c>
      <c r="Q6" s="25">
        <v>1.4</v>
      </c>
      <c r="R6" s="25">
        <f t="shared" si="1"/>
        <v>0</v>
      </c>
      <c r="S6" s="25">
        <f t="shared" si="2"/>
        <v>0</v>
      </c>
      <c r="T6" s="25">
        <v>0.66</v>
      </c>
      <c r="U6" s="25">
        <f>AVERAGE(31.9,38)</f>
        <v>34.950000000000003</v>
      </c>
      <c r="V6" s="25">
        <v>21.1</v>
      </c>
      <c r="W6" s="25">
        <v>17.899999999999999</v>
      </c>
      <c r="X6" s="5" t="s">
        <v>235</v>
      </c>
      <c r="Y6" s="1" t="s">
        <v>236</v>
      </c>
      <c r="AA6">
        <f t="shared" si="3"/>
        <v>24.400000000000006</v>
      </c>
      <c r="AB6" t="s">
        <v>243</v>
      </c>
    </row>
    <row r="7" spans="1:28" x14ac:dyDescent="0.35">
      <c r="A7" t="s">
        <v>171</v>
      </c>
      <c r="B7" s="24" t="s">
        <v>10</v>
      </c>
      <c r="C7" s="24" t="s">
        <v>245</v>
      </c>
      <c r="D7" s="25">
        <v>74.8</v>
      </c>
      <c r="E7" s="25">
        <v>144</v>
      </c>
      <c r="F7" s="25">
        <v>74.900000000000006</v>
      </c>
      <c r="G7" s="25">
        <v>112</v>
      </c>
      <c r="H7" s="25">
        <v>198</v>
      </c>
      <c r="I7" s="25">
        <v>4000000</v>
      </c>
      <c r="J7" s="25">
        <v>39.299999999999997</v>
      </c>
      <c r="K7" s="25">
        <v>28.6</v>
      </c>
      <c r="L7" s="6">
        <f t="shared" si="0"/>
        <v>10.699999999999996</v>
      </c>
      <c r="M7" s="25">
        <v>93.8</v>
      </c>
      <c r="N7" s="25">
        <v>74.5</v>
      </c>
      <c r="O7" s="25">
        <v>107</v>
      </c>
      <c r="P7" s="25">
        <v>3.5</v>
      </c>
      <c r="Q7" s="25">
        <v>1.1000000000000001</v>
      </c>
      <c r="R7" s="25">
        <f t="shared" si="1"/>
        <v>0.68571428571428572</v>
      </c>
      <c r="S7" s="25">
        <f t="shared" si="2"/>
        <v>2.4</v>
      </c>
      <c r="T7" s="25">
        <v>0.61</v>
      </c>
      <c r="U7" s="25">
        <f>AVERAGE(33.8,31.7)</f>
        <v>32.75</v>
      </c>
      <c r="V7" s="25">
        <v>22.7</v>
      </c>
      <c r="W7" s="25">
        <v>12.5</v>
      </c>
      <c r="X7" t="s">
        <v>246</v>
      </c>
      <c r="Y7" s="1" t="s">
        <v>193</v>
      </c>
      <c r="AA7">
        <f t="shared" si="3"/>
        <v>13.200000000000003</v>
      </c>
      <c r="AB7" t="s">
        <v>247</v>
      </c>
    </row>
    <row r="8" spans="1:28" x14ac:dyDescent="0.35">
      <c r="A8" t="s">
        <v>171</v>
      </c>
      <c r="B8" s="24" t="s">
        <v>16</v>
      </c>
      <c r="C8" s="24" t="s">
        <v>248</v>
      </c>
      <c r="D8" s="25">
        <v>73.900000000000006</v>
      </c>
      <c r="E8" s="25">
        <v>155</v>
      </c>
      <c r="F8" s="25">
        <v>78</v>
      </c>
      <c r="G8" s="25">
        <v>112</v>
      </c>
      <c r="H8" s="25">
        <v>220</v>
      </c>
      <c r="I8" s="25">
        <v>4500000</v>
      </c>
      <c r="J8" s="25">
        <v>39.6</v>
      </c>
      <c r="K8" s="25">
        <v>29.6</v>
      </c>
      <c r="L8" s="6">
        <f t="shared" si="0"/>
        <v>10</v>
      </c>
      <c r="M8" s="25">
        <v>92</v>
      </c>
      <c r="N8" s="25">
        <v>70</v>
      </c>
      <c r="O8" s="25">
        <v>108</v>
      </c>
      <c r="P8" s="25">
        <v>2.4</v>
      </c>
      <c r="Q8" s="25">
        <v>0.9</v>
      </c>
      <c r="R8" s="25">
        <f t="shared" si="1"/>
        <v>0.625</v>
      </c>
      <c r="S8" s="25">
        <f t="shared" si="2"/>
        <v>1.5</v>
      </c>
      <c r="T8" s="25">
        <v>0.56999999999999995</v>
      </c>
      <c r="U8">
        <f>AVERAGE(34.3,35)</f>
        <v>34.65</v>
      </c>
      <c r="V8" s="25">
        <v>21.3</v>
      </c>
      <c r="W8" s="25">
        <v>15.6</v>
      </c>
      <c r="X8" t="s">
        <v>232</v>
      </c>
      <c r="Y8" s="1" t="s">
        <v>193</v>
      </c>
      <c r="AA8">
        <f t="shared" si="3"/>
        <v>16</v>
      </c>
    </row>
    <row r="9" spans="1:28" x14ac:dyDescent="0.35">
      <c r="A9" t="s">
        <v>171</v>
      </c>
      <c r="B9" s="24" t="s">
        <v>27</v>
      </c>
      <c r="C9" s="24" t="s">
        <v>249</v>
      </c>
      <c r="D9" s="25">
        <v>78.3</v>
      </c>
      <c r="E9" s="25">
        <v>146</v>
      </c>
      <c r="F9" s="25">
        <v>76.8</v>
      </c>
      <c r="G9" s="25">
        <v>132</v>
      </c>
      <c r="H9" s="25">
        <v>159</v>
      </c>
      <c r="I9">
        <v>4000000</v>
      </c>
      <c r="J9" s="25">
        <v>38.9</v>
      </c>
      <c r="K9" s="25">
        <v>32</v>
      </c>
      <c r="L9" s="6">
        <f t="shared" si="0"/>
        <v>6.8999999999999986</v>
      </c>
      <c r="M9">
        <v>89.4</v>
      </c>
      <c r="N9">
        <v>73</v>
      </c>
      <c r="O9" s="25">
        <v>108</v>
      </c>
      <c r="P9" s="25">
        <v>1.4</v>
      </c>
      <c r="Q9" s="25">
        <v>0.9</v>
      </c>
      <c r="R9" s="25">
        <f t="shared" si="1"/>
        <v>0.3571428571428571</v>
      </c>
      <c r="S9" s="25">
        <f t="shared" si="2"/>
        <v>0.49999999999999989</v>
      </c>
      <c r="T9" s="25">
        <v>0.74</v>
      </c>
      <c r="U9">
        <f>AVERAGE(24.5,35.9)</f>
        <v>30.2</v>
      </c>
      <c r="V9" s="25">
        <v>15.8</v>
      </c>
      <c r="W9" s="25">
        <v>14.5</v>
      </c>
      <c r="X9" t="s">
        <v>235</v>
      </c>
      <c r="Y9" s="1" t="s">
        <v>236</v>
      </c>
      <c r="AA9">
        <f t="shared" si="3"/>
        <v>18.599999999999994</v>
      </c>
    </row>
    <row r="10" spans="1:28" x14ac:dyDescent="0.35">
      <c r="A10" t="s">
        <v>171</v>
      </c>
      <c r="B10" s="24" t="s">
        <v>22</v>
      </c>
      <c r="C10" s="24" t="s">
        <v>250</v>
      </c>
      <c r="D10" s="31">
        <v>80.599999999999994</v>
      </c>
      <c r="E10" s="25">
        <v>157</v>
      </c>
      <c r="F10" s="25">
        <v>82.1</v>
      </c>
      <c r="G10" s="25">
        <v>123</v>
      </c>
      <c r="H10" s="25">
        <v>197</v>
      </c>
      <c r="I10" s="25">
        <v>4300000</v>
      </c>
      <c r="J10" s="25">
        <v>39.9</v>
      </c>
      <c r="K10" s="25">
        <v>32.4</v>
      </c>
      <c r="L10" s="6">
        <f t="shared" si="0"/>
        <v>7.5</v>
      </c>
      <c r="M10" s="25">
        <v>95.6</v>
      </c>
      <c r="N10" s="25">
        <v>71</v>
      </c>
      <c r="O10" s="25">
        <v>116.2</v>
      </c>
      <c r="P10" s="25">
        <v>1.2</v>
      </c>
      <c r="Q10" s="31">
        <v>0.5</v>
      </c>
      <c r="R10" s="25">
        <f t="shared" si="1"/>
        <v>0.58333333333333326</v>
      </c>
      <c r="S10" s="25">
        <f t="shared" si="2"/>
        <v>0.7</v>
      </c>
      <c r="T10" s="25">
        <v>0.48</v>
      </c>
      <c r="U10">
        <f>AVERAGE(22.3,8.8)</f>
        <v>15.55</v>
      </c>
      <c r="V10" s="25">
        <v>17.5</v>
      </c>
      <c r="W10" s="25">
        <v>10.4</v>
      </c>
      <c r="X10" t="s">
        <v>232</v>
      </c>
      <c r="Y10" s="1" t="s">
        <v>194</v>
      </c>
      <c r="AA10">
        <f t="shared" si="3"/>
        <v>20.600000000000009</v>
      </c>
    </row>
    <row r="11" spans="1:28" x14ac:dyDescent="0.35">
      <c r="A11" t="s">
        <v>171</v>
      </c>
      <c r="B11" s="24" t="s">
        <v>12</v>
      </c>
      <c r="C11" s="24" t="s">
        <v>157</v>
      </c>
      <c r="D11">
        <v>80.400000000000006</v>
      </c>
      <c r="E11">
        <v>148</v>
      </c>
      <c r="F11" s="24">
        <v>82.6</v>
      </c>
      <c r="G11">
        <v>124</v>
      </c>
      <c r="H11">
        <v>173</v>
      </c>
      <c r="I11">
        <v>4300000</v>
      </c>
      <c r="J11">
        <v>38.5</v>
      </c>
      <c r="K11">
        <v>30.2</v>
      </c>
      <c r="L11" s="6">
        <f t="shared" si="0"/>
        <v>8.3000000000000007</v>
      </c>
      <c r="M11">
        <v>92.9</v>
      </c>
      <c r="N11">
        <v>72.3</v>
      </c>
      <c r="O11">
        <v>111.6</v>
      </c>
      <c r="P11">
        <v>1.5</v>
      </c>
      <c r="Q11">
        <v>3.1</v>
      </c>
      <c r="R11" s="25">
        <f t="shared" si="1"/>
        <v>-1.0666666666666669</v>
      </c>
      <c r="S11" s="25">
        <f t="shared" si="2"/>
        <v>-1.6</v>
      </c>
      <c r="T11">
        <v>0.71</v>
      </c>
      <c r="U11">
        <f>AVERAGE(36.1,33.7)</f>
        <v>34.900000000000006</v>
      </c>
      <c r="V11" s="24">
        <v>23.1</v>
      </c>
      <c r="W11">
        <v>13.2</v>
      </c>
      <c r="X11" s="7" t="s">
        <v>190</v>
      </c>
      <c r="Y11" s="1" t="s">
        <v>169</v>
      </c>
      <c r="Z11">
        <v>155</v>
      </c>
      <c r="AA11">
        <f t="shared" si="3"/>
        <v>18.699999999999989</v>
      </c>
    </row>
    <row r="12" spans="1:28" x14ac:dyDescent="0.35">
      <c r="A12" t="s">
        <v>171</v>
      </c>
      <c r="B12" s="24" t="s">
        <v>7</v>
      </c>
      <c r="C12" s="24" t="s">
        <v>251</v>
      </c>
      <c r="D12" s="25">
        <v>76.8</v>
      </c>
      <c r="E12" s="25">
        <v>153</v>
      </c>
      <c r="F12" s="25">
        <v>80.2</v>
      </c>
      <c r="G12" s="25">
        <v>142</v>
      </c>
      <c r="H12" s="31">
        <v>99</v>
      </c>
      <c r="I12" s="25">
        <v>11000000</v>
      </c>
      <c r="J12" s="25">
        <v>38.1</v>
      </c>
      <c r="K12" s="25">
        <v>32.200000000000003</v>
      </c>
      <c r="L12" s="6">
        <f t="shared" si="0"/>
        <v>5.8999999999999986</v>
      </c>
      <c r="M12" s="25">
        <v>89.3</v>
      </c>
      <c r="N12" s="25">
        <v>65.900000000000006</v>
      </c>
      <c r="O12" s="25">
        <v>114.5</v>
      </c>
      <c r="P12" s="25">
        <v>1</v>
      </c>
      <c r="Q12" s="25">
        <v>6.3</v>
      </c>
      <c r="R12" s="25">
        <f t="shared" si="1"/>
        <v>-5.3</v>
      </c>
      <c r="S12" s="25">
        <f t="shared" si="2"/>
        <v>-5.3</v>
      </c>
      <c r="T12" s="25">
        <v>0.56999999999999995</v>
      </c>
      <c r="U12" s="25">
        <v>21</v>
      </c>
      <c r="V12" s="25">
        <v>15.6</v>
      </c>
      <c r="W12" s="25">
        <v>8.3000000000000007</v>
      </c>
      <c r="X12" t="s">
        <v>190</v>
      </c>
      <c r="Y12" s="1" t="s">
        <v>194</v>
      </c>
      <c r="AA12">
        <f t="shared" si="3"/>
        <v>25.200000000000003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65F3-2CDC-4338-8CFF-5158F7BA1138}">
  <dimension ref="A1:AI1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9" sqref="H19"/>
    </sheetView>
  </sheetViews>
  <sheetFormatPr defaultRowHeight="14.5" x14ac:dyDescent="0.35"/>
  <cols>
    <col min="1" max="1" width="2.54296875" customWidth="1"/>
    <col min="3" max="3" width="16.6328125" customWidth="1"/>
    <col min="10" max="10" width="5.453125" customWidth="1"/>
    <col min="11" max="11" width="5.36328125" customWidth="1"/>
    <col min="12" max="12" width="6.08984375" customWidth="1"/>
    <col min="13" max="13" width="6" customWidth="1"/>
    <col min="14" max="14" width="5.1796875" customWidth="1"/>
    <col min="16" max="16" width="6.08984375" customWidth="1"/>
    <col min="17" max="17" width="5.36328125" customWidth="1"/>
    <col min="18" max="18" width="6.6328125" customWidth="1"/>
    <col min="19" max="19" width="6.08984375" customWidth="1"/>
    <col min="20" max="20" width="5.7265625" customWidth="1"/>
    <col min="21" max="21" width="6" customWidth="1"/>
    <col min="22" max="22" width="6.36328125" customWidth="1"/>
    <col min="23" max="23" width="7.26953125" customWidth="1"/>
    <col min="24" max="24" width="20.36328125" customWidth="1"/>
    <col min="26" max="26" width="0" hidden="1" customWidth="1"/>
    <col min="28" max="28" width="6.6328125" customWidth="1"/>
    <col min="29" max="29" width="8.6328125" customWidth="1"/>
  </cols>
  <sheetData>
    <row r="1" spans="1:35" x14ac:dyDescent="0.35">
      <c r="A1" s="4" t="s">
        <v>307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204</v>
      </c>
      <c r="I1" s="4" t="s">
        <v>154</v>
      </c>
      <c r="J1" s="4" t="s">
        <v>180</v>
      </c>
      <c r="K1" s="4" t="s">
        <v>181</v>
      </c>
      <c r="L1" s="4" t="s">
        <v>184</v>
      </c>
      <c r="M1" s="4" t="s">
        <v>182</v>
      </c>
      <c r="N1" s="4" t="s">
        <v>183</v>
      </c>
      <c r="O1" s="4" t="s">
        <v>198</v>
      </c>
      <c r="P1" s="4" t="s">
        <v>201</v>
      </c>
      <c r="Q1" s="4" t="s">
        <v>221</v>
      </c>
      <c r="R1" s="4" t="s">
        <v>222</v>
      </c>
      <c r="S1" s="4" t="s">
        <v>223</v>
      </c>
      <c r="T1" s="4" t="s">
        <v>200</v>
      </c>
      <c r="U1" s="4" t="s">
        <v>224</v>
      </c>
      <c r="V1" s="4" t="s">
        <v>237</v>
      </c>
      <c r="W1" s="4" t="s">
        <v>238</v>
      </c>
      <c r="X1" s="4" t="s">
        <v>185</v>
      </c>
      <c r="Y1" s="4" t="s">
        <v>168</v>
      </c>
      <c r="Z1" s="4" t="s">
        <v>197</v>
      </c>
      <c r="AA1" s="4" t="s">
        <v>203</v>
      </c>
      <c r="AB1" s="4" t="s">
        <v>241</v>
      </c>
      <c r="AC1" s="4"/>
      <c r="AD1" s="4" t="s">
        <v>282</v>
      </c>
      <c r="AE1" s="4" t="s">
        <v>283</v>
      </c>
      <c r="AF1" s="4" t="s">
        <v>284</v>
      </c>
      <c r="AG1" s="4" t="s">
        <v>285</v>
      </c>
      <c r="AH1" s="4" t="s">
        <v>286</v>
      </c>
      <c r="AI1" s="4" t="s">
        <v>287</v>
      </c>
    </row>
    <row r="2" spans="1:35" x14ac:dyDescent="0.35">
      <c r="A2" t="s">
        <v>172</v>
      </c>
      <c r="B2" s="33" t="s">
        <v>12</v>
      </c>
      <c r="C2" s="33" t="s">
        <v>162</v>
      </c>
      <c r="D2" s="35">
        <v>67.5</v>
      </c>
      <c r="E2" s="32">
        <v>136</v>
      </c>
      <c r="F2" s="35">
        <v>74.2</v>
      </c>
      <c r="G2" s="32">
        <v>100</v>
      </c>
      <c r="H2" s="35">
        <v>224</v>
      </c>
      <c r="I2" s="34">
        <v>2100000</v>
      </c>
      <c r="J2">
        <v>33.700000000000003</v>
      </c>
      <c r="K2">
        <v>24</v>
      </c>
      <c r="L2">
        <f t="shared" ref="L2:L5" si="0">$J2-$K2</f>
        <v>9.7000000000000028</v>
      </c>
      <c r="M2">
        <v>93</v>
      </c>
      <c r="N2">
        <v>71.599999999999994</v>
      </c>
      <c r="O2" s="25">
        <v>109.1</v>
      </c>
      <c r="P2" s="25">
        <v>3.9</v>
      </c>
      <c r="Q2" s="25">
        <v>1.1000000000000001</v>
      </c>
      <c r="R2" s="35">
        <f t="shared" ref="R2:R15" si="1">1-($Q2/$P2)</f>
        <v>0.71794871794871784</v>
      </c>
      <c r="S2" s="35">
        <f t="shared" ref="S2:S15" si="2">$P2-$Q2</f>
        <v>2.8</v>
      </c>
      <c r="T2" s="35">
        <v>0.65</v>
      </c>
      <c r="U2" s="35">
        <v>41.8</v>
      </c>
      <c r="V2" s="35">
        <v>8.9</v>
      </c>
      <c r="W2" s="35">
        <v>7.8</v>
      </c>
      <c r="X2" s="5" t="s">
        <v>279</v>
      </c>
      <c r="Y2" s="1" t="s">
        <v>169</v>
      </c>
      <c r="Z2">
        <v>210</v>
      </c>
      <c r="AA2" s="34">
        <f t="shared" ref="AA2" si="3">$O2-$M2</f>
        <v>16.099999999999994</v>
      </c>
      <c r="AB2" s="35" t="s">
        <v>335</v>
      </c>
      <c r="AC2" s="35" t="s">
        <v>348</v>
      </c>
      <c r="AD2">
        <v>36</v>
      </c>
      <c r="AE2">
        <v>26</v>
      </c>
      <c r="AF2">
        <f>$J2</f>
        <v>33.700000000000003</v>
      </c>
      <c r="AG2">
        <f>$K2</f>
        <v>24</v>
      </c>
      <c r="AH2" s="30">
        <f>$AD2-$AE2</f>
        <v>10</v>
      </c>
      <c r="AI2">
        <f>$L2</f>
        <v>9.7000000000000028</v>
      </c>
    </row>
    <row r="3" spans="1:35" x14ac:dyDescent="0.35">
      <c r="A3" t="s">
        <v>172</v>
      </c>
      <c r="B3" s="34" t="s">
        <v>10</v>
      </c>
      <c r="C3" s="34" t="s">
        <v>160</v>
      </c>
      <c r="D3" s="7">
        <v>59.8</v>
      </c>
      <c r="E3" s="34">
        <v>145</v>
      </c>
      <c r="F3" s="34">
        <v>67.3</v>
      </c>
      <c r="G3" s="7">
        <v>105</v>
      </c>
      <c r="H3" s="34">
        <v>220</v>
      </c>
      <c r="I3" s="7">
        <v>2500000</v>
      </c>
      <c r="J3">
        <v>33</v>
      </c>
      <c r="K3">
        <v>26.7</v>
      </c>
      <c r="L3">
        <f t="shared" si="0"/>
        <v>6.3000000000000007</v>
      </c>
      <c r="M3">
        <v>96.1</v>
      </c>
      <c r="N3">
        <v>75</v>
      </c>
      <c r="O3">
        <v>114.9</v>
      </c>
      <c r="P3">
        <v>2.6</v>
      </c>
      <c r="Q3">
        <v>0.8</v>
      </c>
      <c r="R3" s="35">
        <f t="shared" si="1"/>
        <v>0.69230769230769229</v>
      </c>
      <c r="S3" s="32">
        <f t="shared" si="2"/>
        <v>1.8</v>
      </c>
      <c r="T3" s="7">
        <v>0.5</v>
      </c>
      <c r="U3" s="7">
        <v>25.7</v>
      </c>
      <c r="V3" s="34">
        <v>11.7</v>
      </c>
      <c r="W3" s="34">
        <v>10.8</v>
      </c>
      <c r="X3" s="5" t="s">
        <v>233</v>
      </c>
      <c r="Y3" s="1" t="s">
        <v>170</v>
      </c>
      <c r="AA3" s="34">
        <f>$O3-$M3</f>
        <v>18.800000000000011</v>
      </c>
      <c r="AB3" s="35" t="s">
        <v>337</v>
      </c>
      <c r="AC3" s="35" t="s">
        <v>347</v>
      </c>
      <c r="AD3">
        <v>35</v>
      </c>
      <c r="AE3">
        <v>29</v>
      </c>
      <c r="AF3">
        <f t="shared" ref="AF3:AF15" si="4">$J3</f>
        <v>33</v>
      </c>
      <c r="AG3">
        <f t="shared" ref="AG3:AG15" si="5">$K3</f>
        <v>26.7</v>
      </c>
      <c r="AH3" s="30">
        <f t="shared" ref="AH3:AH15" si="6">$AD3-$AE3</f>
        <v>6</v>
      </c>
      <c r="AI3">
        <f t="shared" ref="AI3:AI15" si="7">$L3</f>
        <v>6.3000000000000007</v>
      </c>
    </row>
    <row r="4" spans="1:35" x14ac:dyDescent="0.35">
      <c r="A4" t="s">
        <v>172</v>
      </c>
      <c r="B4" s="34" t="s">
        <v>27</v>
      </c>
      <c r="C4" s="34" t="s">
        <v>74</v>
      </c>
      <c r="D4" s="34">
        <v>63.6</v>
      </c>
      <c r="E4" s="34">
        <v>141</v>
      </c>
      <c r="F4" s="34">
        <v>66.5</v>
      </c>
      <c r="G4" s="34">
        <v>134</v>
      </c>
      <c r="H4" s="7">
        <v>254</v>
      </c>
      <c r="I4" s="34">
        <v>2100000</v>
      </c>
      <c r="J4">
        <v>40.9</v>
      </c>
      <c r="K4">
        <v>33.5</v>
      </c>
      <c r="L4">
        <f t="shared" si="0"/>
        <v>7.3999999999999986</v>
      </c>
      <c r="M4">
        <v>97.5</v>
      </c>
      <c r="N4">
        <v>74.400000000000006</v>
      </c>
      <c r="O4">
        <v>122.3</v>
      </c>
      <c r="P4">
        <v>3.3</v>
      </c>
      <c r="Q4">
        <v>0.9</v>
      </c>
      <c r="R4" s="35">
        <f t="shared" si="1"/>
        <v>0.72727272727272729</v>
      </c>
      <c r="S4" s="35">
        <f t="shared" si="2"/>
        <v>2.4</v>
      </c>
      <c r="T4" s="7">
        <v>0.53</v>
      </c>
      <c r="U4" s="7">
        <v>30.3</v>
      </c>
      <c r="V4" s="34">
        <v>11.2</v>
      </c>
      <c r="W4" s="7" t="s">
        <v>331</v>
      </c>
      <c r="X4" s="5" t="s">
        <v>227</v>
      </c>
      <c r="Y4" s="1" t="s">
        <v>228</v>
      </c>
      <c r="AA4" s="7">
        <f t="shared" ref="AA4:AA15" si="8">$O4-$M4</f>
        <v>24.799999999999997</v>
      </c>
      <c r="AB4" s="35" t="s">
        <v>338</v>
      </c>
      <c r="AC4" s="35" t="s">
        <v>349</v>
      </c>
      <c r="AD4">
        <v>41.5</v>
      </c>
      <c r="AE4">
        <v>33.5</v>
      </c>
      <c r="AF4">
        <f t="shared" si="4"/>
        <v>40.9</v>
      </c>
      <c r="AG4">
        <f t="shared" si="5"/>
        <v>33.5</v>
      </c>
      <c r="AH4" s="1">
        <f t="shared" si="6"/>
        <v>8</v>
      </c>
      <c r="AI4">
        <f t="shared" si="7"/>
        <v>7.3999999999999986</v>
      </c>
    </row>
    <row r="5" spans="1:35" x14ac:dyDescent="0.35">
      <c r="A5" t="s">
        <v>172</v>
      </c>
      <c r="B5" s="34" t="s">
        <v>7</v>
      </c>
      <c r="C5" s="34" t="s">
        <v>179</v>
      </c>
      <c r="D5" s="34">
        <v>74.3</v>
      </c>
      <c r="E5" s="34">
        <v>147</v>
      </c>
      <c r="F5" s="34">
        <v>73.5</v>
      </c>
      <c r="G5" s="34">
        <v>126</v>
      </c>
      <c r="H5" s="34">
        <v>223</v>
      </c>
      <c r="I5" s="7">
        <v>2500000</v>
      </c>
      <c r="J5">
        <v>36.1</v>
      </c>
      <c r="K5">
        <v>28.1</v>
      </c>
      <c r="L5">
        <f t="shared" si="0"/>
        <v>8</v>
      </c>
      <c r="M5">
        <v>97.5</v>
      </c>
      <c r="N5">
        <v>71.599999999999994</v>
      </c>
      <c r="O5">
        <v>116.3</v>
      </c>
      <c r="P5">
        <v>1.6</v>
      </c>
      <c r="Q5">
        <v>0.6</v>
      </c>
      <c r="R5" s="32">
        <f t="shared" si="1"/>
        <v>0.625</v>
      </c>
      <c r="S5" s="32">
        <f t="shared" si="2"/>
        <v>1</v>
      </c>
      <c r="T5" s="7">
        <v>0.4</v>
      </c>
      <c r="U5" s="34">
        <v>43.5</v>
      </c>
      <c r="V5" s="34">
        <v>9.8000000000000007</v>
      </c>
      <c r="W5" s="7" t="s">
        <v>331</v>
      </c>
      <c r="X5" s="5" t="s">
        <v>206</v>
      </c>
      <c r="Y5" s="1" t="s">
        <v>194</v>
      </c>
      <c r="AA5" s="34">
        <f t="shared" si="8"/>
        <v>18.799999999999997</v>
      </c>
      <c r="AB5" s="35" t="s">
        <v>338</v>
      </c>
      <c r="AC5" s="35" t="s">
        <v>349</v>
      </c>
      <c r="AD5">
        <v>38.5</v>
      </c>
      <c r="AE5">
        <v>32</v>
      </c>
      <c r="AF5">
        <f t="shared" si="4"/>
        <v>36.1</v>
      </c>
      <c r="AG5">
        <f t="shared" si="5"/>
        <v>28.1</v>
      </c>
      <c r="AH5" s="7">
        <f t="shared" si="6"/>
        <v>6.5</v>
      </c>
      <c r="AI5">
        <f t="shared" si="7"/>
        <v>8</v>
      </c>
    </row>
    <row r="6" spans="1:35" x14ac:dyDescent="0.35">
      <c r="A6" t="s">
        <v>172</v>
      </c>
      <c r="B6" s="34" t="s">
        <v>22</v>
      </c>
      <c r="C6" s="34" t="s">
        <v>176</v>
      </c>
      <c r="D6" s="34">
        <v>70.599999999999994</v>
      </c>
      <c r="E6" s="7">
        <v>137</v>
      </c>
      <c r="F6" s="34">
        <v>74.7</v>
      </c>
      <c r="G6" s="34">
        <v>122</v>
      </c>
      <c r="H6" s="34">
        <v>241</v>
      </c>
      <c r="I6" s="34">
        <v>2400000</v>
      </c>
      <c r="J6">
        <v>40.700000000000003</v>
      </c>
      <c r="K6">
        <v>32.700000000000003</v>
      </c>
      <c r="L6">
        <f t="shared" ref="L6:L15" si="9">$J6-$K6</f>
        <v>8</v>
      </c>
      <c r="M6">
        <v>94</v>
      </c>
      <c r="N6">
        <v>72.2</v>
      </c>
      <c r="O6">
        <v>123.4</v>
      </c>
      <c r="P6">
        <v>2.2999999999999998</v>
      </c>
      <c r="Q6">
        <v>0.5</v>
      </c>
      <c r="R6" s="35">
        <f t="shared" si="1"/>
        <v>0.78260869565217384</v>
      </c>
      <c r="S6" s="32">
        <f t="shared" si="2"/>
        <v>1.7999999999999998</v>
      </c>
      <c r="T6" s="7">
        <v>0.51</v>
      </c>
      <c r="U6" s="34">
        <v>40.200000000000003</v>
      </c>
      <c r="V6" s="7">
        <v>16.600000000000001</v>
      </c>
      <c r="W6" s="7">
        <v>14.5</v>
      </c>
      <c r="X6" s="5" t="s">
        <v>199</v>
      </c>
      <c r="Y6" s="1" t="s">
        <v>193</v>
      </c>
      <c r="Z6">
        <v>212</v>
      </c>
      <c r="AA6" s="7">
        <f t="shared" si="8"/>
        <v>29.400000000000006</v>
      </c>
      <c r="AB6" s="35" t="s">
        <v>337</v>
      </c>
      <c r="AC6" s="35" t="s">
        <v>347</v>
      </c>
      <c r="AD6">
        <v>40</v>
      </c>
      <c r="AE6">
        <v>32</v>
      </c>
      <c r="AF6">
        <f t="shared" si="4"/>
        <v>40.700000000000003</v>
      </c>
      <c r="AG6">
        <f t="shared" si="5"/>
        <v>32.700000000000003</v>
      </c>
      <c r="AH6" s="30">
        <f t="shared" si="6"/>
        <v>8</v>
      </c>
      <c r="AI6">
        <f t="shared" si="7"/>
        <v>8</v>
      </c>
    </row>
    <row r="7" spans="1:35" x14ac:dyDescent="0.35">
      <c r="A7" t="s">
        <v>172</v>
      </c>
      <c r="B7" s="7" t="s">
        <v>0</v>
      </c>
      <c r="C7" s="7" t="s">
        <v>261</v>
      </c>
      <c r="D7" s="7">
        <v>57.1</v>
      </c>
      <c r="E7" s="7">
        <v>131</v>
      </c>
      <c r="F7" s="7">
        <v>61.2</v>
      </c>
      <c r="G7" s="7">
        <v>91</v>
      </c>
      <c r="H7" s="7">
        <v>286</v>
      </c>
      <c r="I7" s="34">
        <v>2350000</v>
      </c>
      <c r="J7">
        <v>36</v>
      </c>
      <c r="K7">
        <v>22</v>
      </c>
      <c r="L7">
        <f t="shared" si="9"/>
        <v>14</v>
      </c>
      <c r="M7">
        <v>96.5</v>
      </c>
      <c r="N7">
        <v>27</v>
      </c>
      <c r="O7">
        <v>112.3</v>
      </c>
      <c r="P7">
        <v>2.6</v>
      </c>
      <c r="Q7">
        <v>0.8</v>
      </c>
      <c r="R7" s="35">
        <f t="shared" si="1"/>
        <v>0.69230769230769229</v>
      </c>
      <c r="S7" s="32">
        <f t="shared" si="2"/>
        <v>1.8</v>
      </c>
      <c r="T7" s="7">
        <v>0.5</v>
      </c>
      <c r="U7" s="34">
        <v>37.6</v>
      </c>
      <c r="V7" s="7">
        <v>14.6</v>
      </c>
      <c r="W7" s="34">
        <v>12.1</v>
      </c>
      <c r="X7" s="5" t="s">
        <v>262</v>
      </c>
      <c r="Y7" s="1" t="s">
        <v>253</v>
      </c>
      <c r="AA7" s="34">
        <f t="shared" si="8"/>
        <v>15.799999999999997</v>
      </c>
      <c r="AB7" s="32" t="s">
        <v>336</v>
      </c>
      <c r="AC7" s="32" t="s">
        <v>350</v>
      </c>
      <c r="AD7">
        <v>37</v>
      </c>
      <c r="AE7">
        <v>27</v>
      </c>
      <c r="AF7">
        <f t="shared" si="4"/>
        <v>36</v>
      </c>
      <c r="AG7">
        <f t="shared" si="5"/>
        <v>22</v>
      </c>
      <c r="AH7" s="7">
        <f t="shared" si="6"/>
        <v>10</v>
      </c>
      <c r="AI7">
        <f t="shared" si="7"/>
        <v>14</v>
      </c>
    </row>
    <row r="8" spans="1:35" x14ac:dyDescent="0.35">
      <c r="A8" t="s">
        <v>172</v>
      </c>
      <c r="B8" s="7" t="s">
        <v>16</v>
      </c>
      <c r="C8" s="7" t="s">
        <v>264</v>
      </c>
      <c r="D8" s="34">
        <v>60.6</v>
      </c>
      <c r="E8" s="7">
        <v>137</v>
      </c>
      <c r="F8" s="34">
        <v>66.599999999999994</v>
      </c>
      <c r="G8" s="7">
        <v>110</v>
      </c>
      <c r="H8" s="34">
        <v>224</v>
      </c>
      <c r="I8" s="7">
        <v>2600000</v>
      </c>
      <c r="J8">
        <v>35.6</v>
      </c>
      <c r="K8">
        <v>26.2</v>
      </c>
      <c r="L8">
        <f t="shared" si="9"/>
        <v>9.4000000000000021</v>
      </c>
      <c r="M8">
        <v>92.5</v>
      </c>
      <c r="N8">
        <v>72.900000000000006</v>
      </c>
      <c r="O8">
        <v>115.5</v>
      </c>
      <c r="P8">
        <v>2.2999999999999998</v>
      </c>
      <c r="Q8">
        <v>1.1000000000000001</v>
      </c>
      <c r="R8" s="32">
        <f t="shared" si="1"/>
        <v>0.52173913043478248</v>
      </c>
      <c r="S8" s="32">
        <f t="shared" si="2"/>
        <v>1.1999999999999997</v>
      </c>
      <c r="T8" s="34">
        <v>0.73</v>
      </c>
      <c r="U8" s="34">
        <v>41.7</v>
      </c>
      <c r="V8" s="7">
        <v>14.2</v>
      </c>
      <c r="W8" s="7">
        <v>13.6</v>
      </c>
      <c r="X8" s="5" t="s">
        <v>265</v>
      </c>
      <c r="Y8" s="1" t="s">
        <v>253</v>
      </c>
      <c r="AA8" s="7">
        <f t="shared" si="8"/>
        <v>23</v>
      </c>
      <c r="AB8" s="32" t="s">
        <v>336</v>
      </c>
      <c r="AC8" s="32" t="s">
        <v>350</v>
      </c>
      <c r="AD8">
        <v>37</v>
      </c>
      <c r="AE8">
        <v>32</v>
      </c>
      <c r="AF8">
        <f t="shared" si="4"/>
        <v>35.6</v>
      </c>
      <c r="AG8">
        <f t="shared" si="5"/>
        <v>26.2</v>
      </c>
      <c r="AH8" s="7">
        <f t="shared" si="6"/>
        <v>5</v>
      </c>
      <c r="AI8">
        <f t="shared" si="7"/>
        <v>9.4000000000000021</v>
      </c>
    </row>
    <row r="9" spans="1:35" x14ac:dyDescent="0.35">
      <c r="A9" t="s">
        <v>172</v>
      </c>
      <c r="B9" s="7" t="s">
        <v>27</v>
      </c>
      <c r="C9" s="7" t="s">
        <v>266</v>
      </c>
      <c r="D9" s="7">
        <v>50.5</v>
      </c>
      <c r="E9" s="34">
        <v>139</v>
      </c>
      <c r="F9" s="7">
        <v>52.5</v>
      </c>
      <c r="G9" s="7">
        <v>110</v>
      </c>
      <c r="H9" s="7">
        <v>252</v>
      </c>
      <c r="I9" s="34">
        <v>2100000</v>
      </c>
      <c r="J9">
        <v>42.8</v>
      </c>
      <c r="K9">
        <v>29.5</v>
      </c>
      <c r="L9">
        <f t="shared" si="9"/>
        <v>13.299999999999997</v>
      </c>
      <c r="M9">
        <v>94.5</v>
      </c>
      <c r="N9">
        <v>74.400000000000006</v>
      </c>
      <c r="O9">
        <v>120.5</v>
      </c>
      <c r="P9">
        <v>5</v>
      </c>
      <c r="Q9">
        <v>2.4</v>
      </c>
      <c r="R9" s="32">
        <f t="shared" si="1"/>
        <v>0.52</v>
      </c>
      <c r="S9" s="35">
        <f t="shared" si="2"/>
        <v>2.6</v>
      </c>
      <c r="T9" s="7">
        <v>0.54</v>
      </c>
      <c r="U9" s="34">
        <f>AVERAGE(31.8,54.9)</f>
        <v>43.35</v>
      </c>
      <c r="V9" s="34">
        <v>13.7</v>
      </c>
      <c r="W9" s="7">
        <v>14.7</v>
      </c>
      <c r="X9" s="5" t="s">
        <v>267</v>
      </c>
      <c r="Y9" s="1" t="s">
        <v>253</v>
      </c>
      <c r="AA9" s="7">
        <f t="shared" si="8"/>
        <v>26</v>
      </c>
      <c r="AB9" s="32" t="s">
        <v>336</v>
      </c>
      <c r="AC9" s="32" t="s">
        <v>350</v>
      </c>
      <c r="AD9">
        <v>38</v>
      </c>
      <c r="AE9">
        <v>30</v>
      </c>
      <c r="AF9">
        <f t="shared" si="4"/>
        <v>42.8</v>
      </c>
      <c r="AG9">
        <f t="shared" si="5"/>
        <v>29.5</v>
      </c>
      <c r="AH9" s="7">
        <f t="shared" si="6"/>
        <v>8</v>
      </c>
      <c r="AI9">
        <f t="shared" si="7"/>
        <v>13.299999999999997</v>
      </c>
    </row>
    <row r="10" spans="1:35" x14ac:dyDescent="0.35">
      <c r="A10" t="s">
        <v>172</v>
      </c>
      <c r="B10" s="32" t="s">
        <v>27</v>
      </c>
      <c r="C10" s="32" t="s">
        <v>268</v>
      </c>
      <c r="D10" s="7">
        <v>44.2</v>
      </c>
      <c r="E10" s="7">
        <v>137</v>
      </c>
      <c r="F10" s="7">
        <v>45.9</v>
      </c>
      <c r="G10" s="34">
        <v>133</v>
      </c>
      <c r="H10" s="7">
        <v>278</v>
      </c>
      <c r="I10" s="7">
        <v>2700000</v>
      </c>
      <c r="J10">
        <v>39.5</v>
      </c>
      <c r="K10">
        <v>34.299999999999997</v>
      </c>
      <c r="L10">
        <f t="shared" si="9"/>
        <v>5.2000000000000028</v>
      </c>
      <c r="M10">
        <v>97.6</v>
      </c>
      <c r="N10">
        <v>72.5</v>
      </c>
      <c r="O10">
        <v>119</v>
      </c>
      <c r="P10">
        <v>3.3</v>
      </c>
      <c r="Q10">
        <v>1</v>
      </c>
      <c r="R10" s="35">
        <f t="shared" si="1"/>
        <v>0.69696969696969702</v>
      </c>
      <c r="S10" s="35">
        <f t="shared" si="2"/>
        <v>2.2999999999999998</v>
      </c>
      <c r="T10" s="34">
        <v>0.76</v>
      </c>
      <c r="U10" s="34">
        <v>38.799999999999997</v>
      </c>
      <c r="V10" s="7">
        <v>23.1</v>
      </c>
      <c r="W10" s="7">
        <v>20.5</v>
      </c>
      <c r="X10" s="5" t="s">
        <v>267</v>
      </c>
      <c r="Y10" s="1" t="s">
        <v>253</v>
      </c>
      <c r="AA10" s="7">
        <f t="shared" si="8"/>
        <v>21.400000000000006</v>
      </c>
      <c r="AB10" s="32" t="s">
        <v>336</v>
      </c>
      <c r="AC10" s="32" t="s">
        <v>350</v>
      </c>
      <c r="AD10">
        <v>43.5</v>
      </c>
      <c r="AE10">
        <v>35.5</v>
      </c>
      <c r="AF10">
        <f t="shared" si="4"/>
        <v>39.5</v>
      </c>
      <c r="AG10">
        <f t="shared" si="5"/>
        <v>34.299999999999997</v>
      </c>
      <c r="AH10" s="7">
        <f t="shared" si="6"/>
        <v>8</v>
      </c>
      <c r="AI10">
        <f t="shared" si="7"/>
        <v>5.2000000000000028</v>
      </c>
    </row>
    <row r="11" spans="1:35" x14ac:dyDescent="0.35">
      <c r="A11" t="s">
        <v>172</v>
      </c>
      <c r="B11" s="7" t="s">
        <v>55</v>
      </c>
      <c r="C11" s="7" t="s">
        <v>273</v>
      </c>
      <c r="D11" s="7">
        <v>54.1</v>
      </c>
      <c r="E11" s="34">
        <v>140</v>
      </c>
      <c r="F11" s="7">
        <v>57.7</v>
      </c>
      <c r="G11" s="34">
        <v>116</v>
      </c>
      <c r="H11" s="7">
        <v>303</v>
      </c>
      <c r="I11" s="7">
        <v>3200000</v>
      </c>
      <c r="J11">
        <v>37.200000000000003</v>
      </c>
      <c r="K11">
        <v>29</v>
      </c>
      <c r="L11">
        <f t="shared" si="9"/>
        <v>8.2000000000000028</v>
      </c>
      <c r="M11">
        <v>96.1</v>
      </c>
      <c r="N11">
        <v>73.900000000000006</v>
      </c>
      <c r="O11">
        <v>120.4</v>
      </c>
      <c r="P11">
        <v>3.3</v>
      </c>
      <c r="Q11">
        <v>0.7</v>
      </c>
      <c r="R11" s="35">
        <f t="shared" si="1"/>
        <v>0.78787878787878785</v>
      </c>
      <c r="S11" s="35">
        <f t="shared" si="2"/>
        <v>2.5999999999999996</v>
      </c>
      <c r="T11" s="7">
        <v>0.56999999999999995</v>
      </c>
      <c r="U11" s="7">
        <f>AVERAGE(29.2,34.8)</f>
        <v>32</v>
      </c>
      <c r="V11" s="7">
        <v>15.2</v>
      </c>
      <c r="W11" s="7">
        <v>14</v>
      </c>
      <c r="X11" s="5" t="s">
        <v>232</v>
      </c>
      <c r="Y11" s="1" t="s">
        <v>253</v>
      </c>
      <c r="AA11" s="7">
        <f t="shared" si="8"/>
        <v>24.300000000000011</v>
      </c>
      <c r="AB11" s="32" t="s">
        <v>339</v>
      </c>
      <c r="AC11" s="32" t="s">
        <v>316</v>
      </c>
      <c r="AD11">
        <v>38</v>
      </c>
      <c r="AE11">
        <v>30</v>
      </c>
      <c r="AF11">
        <f t="shared" si="4"/>
        <v>37.200000000000003</v>
      </c>
      <c r="AG11">
        <f t="shared" si="5"/>
        <v>29</v>
      </c>
      <c r="AH11" s="30">
        <f t="shared" si="6"/>
        <v>8</v>
      </c>
      <c r="AI11">
        <f t="shared" si="7"/>
        <v>8.2000000000000028</v>
      </c>
    </row>
    <row r="12" spans="1:35" x14ac:dyDescent="0.35">
      <c r="A12" t="s">
        <v>172</v>
      </c>
      <c r="B12" s="34" t="s">
        <v>12</v>
      </c>
      <c r="C12" s="34" t="s">
        <v>165</v>
      </c>
      <c r="D12" s="34">
        <v>65.2</v>
      </c>
      <c r="E12" s="7">
        <v>136</v>
      </c>
      <c r="F12" s="34">
        <v>73.599999999999994</v>
      </c>
      <c r="G12" s="7">
        <v>99</v>
      </c>
      <c r="H12" s="7">
        <v>261</v>
      </c>
      <c r="I12" s="34">
        <v>2300000</v>
      </c>
      <c r="J12">
        <v>37.4</v>
      </c>
      <c r="K12">
        <v>25.9</v>
      </c>
      <c r="L12">
        <f t="shared" si="9"/>
        <v>11.5</v>
      </c>
      <c r="M12">
        <v>96</v>
      </c>
      <c r="N12">
        <v>72.3</v>
      </c>
      <c r="O12">
        <v>112.6</v>
      </c>
      <c r="P12">
        <v>3.8</v>
      </c>
      <c r="Q12">
        <v>1.3</v>
      </c>
      <c r="R12" s="32">
        <f t="shared" si="1"/>
        <v>0.65789473684210531</v>
      </c>
      <c r="S12" s="35">
        <f t="shared" si="2"/>
        <v>2.5</v>
      </c>
      <c r="T12" s="34">
        <v>0.61</v>
      </c>
      <c r="U12" s="7">
        <v>32.299999999999997</v>
      </c>
      <c r="V12" s="7">
        <v>17.8</v>
      </c>
      <c r="W12" s="34">
        <v>9.6999999999999993</v>
      </c>
      <c r="X12" s="5" t="s">
        <v>202</v>
      </c>
      <c r="Y12" s="1" t="s">
        <v>193</v>
      </c>
      <c r="Z12">
        <v>230</v>
      </c>
      <c r="AA12" s="34">
        <f t="shared" si="8"/>
        <v>16.599999999999994</v>
      </c>
      <c r="AB12" s="35" t="s">
        <v>337</v>
      </c>
      <c r="AC12" s="35" t="s">
        <v>347</v>
      </c>
      <c r="AD12">
        <v>40</v>
      </c>
      <c r="AE12">
        <v>30</v>
      </c>
      <c r="AF12">
        <f t="shared" si="4"/>
        <v>37.4</v>
      </c>
      <c r="AG12">
        <f t="shared" si="5"/>
        <v>25.9</v>
      </c>
      <c r="AH12" s="7">
        <f t="shared" si="6"/>
        <v>10</v>
      </c>
      <c r="AI12">
        <f t="shared" si="7"/>
        <v>11.5</v>
      </c>
    </row>
    <row r="13" spans="1:35" x14ac:dyDescent="0.35">
      <c r="A13" t="s">
        <v>172</v>
      </c>
      <c r="B13" s="7" t="s">
        <v>0</v>
      </c>
      <c r="C13" s="7" t="s">
        <v>72</v>
      </c>
      <c r="D13" s="34">
        <v>64.400000000000006</v>
      </c>
      <c r="E13" s="7">
        <v>125</v>
      </c>
      <c r="F13" s="34">
        <v>70.8</v>
      </c>
      <c r="G13" s="7">
        <v>79</v>
      </c>
      <c r="H13" s="34">
        <v>244</v>
      </c>
      <c r="I13" s="7">
        <v>2850000</v>
      </c>
      <c r="J13">
        <v>33</v>
      </c>
      <c r="K13">
        <v>23.6</v>
      </c>
      <c r="L13">
        <f t="shared" si="9"/>
        <v>9.3999999999999986</v>
      </c>
      <c r="M13">
        <v>93.9</v>
      </c>
      <c r="N13">
        <v>71.599999999999994</v>
      </c>
      <c r="O13">
        <v>116.5</v>
      </c>
      <c r="P13">
        <v>2.7</v>
      </c>
      <c r="Q13">
        <v>1.2</v>
      </c>
      <c r="R13" s="32">
        <f t="shared" si="1"/>
        <v>0.55555555555555558</v>
      </c>
      <c r="S13" s="32">
        <f t="shared" si="2"/>
        <v>1.5000000000000002</v>
      </c>
      <c r="T13" s="7">
        <v>0.42</v>
      </c>
      <c r="U13" s="7">
        <v>33.9</v>
      </c>
      <c r="V13" s="34">
        <v>10.5</v>
      </c>
      <c r="W13" s="34" t="s">
        <v>346</v>
      </c>
      <c r="X13" s="5" t="s">
        <v>265</v>
      </c>
      <c r="Y13" s="1" t="s">
        <v>193</v>
      </c>
      <c r="AA13" s="7">
        <f t="shared" si="8"/>
        <v>22.599999999999994</v>
      </c>
      <c r="AB13" s="32" t="s">
        <v>336</v>
      </c>
      <c r="AC13" s="32" t="s">
        <v>350</v>
      </c>
      <c r="AD13">
        <v>34</v>
      </c>
      <c r="AE13">
        <v>24</v>
      </c>
      <c r="AF13">
        <f t="shared" si="4"/>
        <v>33</v>
      </c>
      <c r="AG13">
        <f t="shared" si="5"/>
        <v>23.6</v>
      </c>
      <c r="AH13" s="1">
        <f t="shared" si="6"/>
        <v>10</v>
      </c>
      <c r="AI13">
        <f t="shared" si="7"/>
        <v>9.3999999999999986</v>
      </c>
    </row>
    <row r="14" spans="1:35" x14ac:dyDescent="0.35">
      <c r="A14" t="s">
        <v>172</v>
      </c>
      <c r="B14" s="35" t="s">
        <v>7</v>
      </c>
      <c r="C14" s="35" t="s">
        <v>277</v>
      </c>
      <c r="D14" s="7">
        <v>56.1</v>
      </c>
      <c r="E14" s="7">
        <v>136</v>
      </c>
      <c r="F14" s="7">
        <v>64.3</v>
      </c>
      <c r="G14" s="7">
        <v>107</v>
      </c>
      <c r="H14" s="34">
        <v>245</v>
      </c>
      <c r="I14" s="34">
        <v>2000000</v>
      </c>
      <c r="J14">
        <v>34.9</v>
      </c>
      <c r="K14">
        <v>26.7</v>
      </c>
      <c r="L14">
        <f t="shared" si="9"/>
        <v>8.1999999999999993</v>
      </c>
      <c r="M14">
        <v>98.3</v>
      </c>
      <c r="N14">
        <v>71.099999999999994</v>
      </c>
      <c r="O14">
        <v>113</v>
      </c>
      <c r="P14">
        <v>3.6</v>
      </c>
      <c r="Q14">
        <v>1.1000000000000001</v>
      </c>
      <c r="R14" s="35">
        <f t="shared" si="1"/>
        <v>0.69444444444444442</v>
      </c>
      <c r="S14" s="35">
        <f t="shared" si="2"/>
        <v>2.5</v>
      </c>
      <c r="T14" s="34">
        <v>0.69</v>
      </c>
      <c r="U14" s="34">
        <f>AVERAGE(36.8,35.6)</f>
        <v>36.200000000000003</v>
      </c>
      <c r="V14" s="34">
        <v>12.7</v>
      </c>
      <c r="W14" s="34" t="s">
        <v>346</v>
      </c>
      <c r="X14" s="5" t="s">
        <v>278</v>
      </c>
      <c r="Y14" s="1" t="s">
        <v>253</v>
      </c>
      <c r="AA14" s="34">
        <f t="shared" si="8"/>
        <v>14.700000000000003</v>
      </c>
      <c r="AB14" s="35" t="s">
        <v>332</v>
      </c>
      <c r="AC14" s="35" t="s">
        <v>351</v>
      </c>
      <c r="AD14">
        <v>35</v>
      </c>
      <c r="AE14">
        <v>26</v>
      </c>
      <c r="AF14">
        <f t="shared" si="4"/>
        <v>34.9</v>
      </c>
      <c r="AG14">
        <f t="shared" si="5"/>
        <v>26.7</v>
      </c>
      <c r="AH14" s="1">
        <f t="shared" si="6"/>
        <v>9</v>
      </c>
      <c r="AI14">
        <f t="shared" si="7"/>
        <v>8.1999999999999993</v>
      </c>
    </row>
    <row r="15" spans="1:35" x14ac:dyDescent="0.35">
      <c r="A15" t="s">
        <v>172</v>
      </c>
      <c r="B15" s="7" t="s">
        <v>7</v>
      </c>
      <c r="C15" s="7" t="s">
        <v>280</v>
      </c>
      <c r="D15" s="7">
        <v>58.8</v>
      </c>
      <c r="E15" s="34">
        <v>140</v>
      </c>
      <c r="F15" s="7">
        <v>62.8</v>
      </c>
      <c r="G15" s="34">
        <v>112</v>
      </c>
      <c r="H15" s="7">
        <v>264</v>
      </c>
      <c r="I15" s="34">
        <v>2100000</v>
      </c>
      <c r="J15">
        <v>35</v>
      </c>
      <c r="K15">
        <v>27.2</v>
      </c>
      <c r="L15">
        <f t="shared" si="9"/>
        <v>7.8000000000000007</v>
      </c>
      <c r="M15">
        <v>97.6</v>
      </c>
      <c r="N15">
        <v>74.5</v>
      </c>
      <c r="O15">
        <v>116.4</v>
      </c>
      <c r="P15">
        <v>2.1</v>
      </c>
      <c r="Q15">
        <v>0.8</v>
      </c>
      <c r="R15" s="32">
        <f t="shared" si="1"/>
        <v>0.61904761904761907</v>
      </c>
      <c r="S15" s="32">
        <f t="shared" si="2"/>
        <v>1.3</v>
      </c>
      <c r="T15" s="34">
        <v>0.85</v>
      </c>
      <c r="U15" s="7">
        <v>28.6</v>
      </c>
      <c r="V15" s="7">
        <v>16.600000000000001</v>
      </c>
      <c r="W15" s="34">
        <v>11.4</v>
      </c>
      <c r="X15" s="5" t="s">
        <v>281</v>
      </c>
      <c r="Y15" s="1" t="s">
        <v>193</v>
      </c>
      <c r="AA15" s="34">
        <f t="shared" si="8"/>
        <v>18.800000000000011</v>
      </c>
      <c r="AB15" s="32" t="s">
        <v>334</v>
      </c>
      <c r="AC15" s="32" t="s">
        <v>352</v>
      </c>
      <c r="AD15">
        <v>36</v>
      </c>
      <c r="AE15">
        <v>28</v>
      </c>
      <c r="AF15">
        <f t="shared" si="4"/>
        <v>35</v>
      </c>
      <c r="AG15">
        <f t="shared" si="5"/>
        <v>27.2</v>
      </c>
      <c r="AH15" s="30">
        <f t="shared" si="6"/>
        <v>8</v>
      </c>
      <c r="AI15">
        <f t="shared" si="7"/>
        <v>7.8000000000000007</v>
      </c>
    </row>
    <row r="16" spans="1:35" x14ac:dyDescent="0.35">
      <c r="C16" s="1" t="s">
        <v>329</v>
      </c>
      <c r="D16">
        <f>AVERAGE(D2:D15)</f>
        <v>60.485714285714288</v>
      </c>
      <c r="E16">
        <f t="shared" ref="E16:I16" si="10">AVERAGE(E2:E15)</f>
        <v>137.64285714285714</v>
      </c>
      <c r="F16">
        <f t="shared" si="10"/>
        <v>65.114285714285714</v>
      </c>
      <c r="G16">
        <f t="shared" si="10"/>
        <v>110.28571428571429</v>
      </c>
      <c r="H16">
        <f t="shared" si="10"/>
        <v>251.35714285714286</v>
      </c>
      <c r="I16">
        <f t="shared" si="10"/>
        <v>2414285.7142857141</v>
      </c>
      <c r="R16">
        <f t="shared" ref="R16" si="11">AVERAGE(R2:R15)</f>
        <v>0.66364110690442824</v>
      </c>
      <c r="S16">
        <f t="shared" ref="S16" si="12">AVERAGE(S2:S15)</f>
        <v>2.0071428571428571</v>
      </c>
      <c r="T16">
        <f t="shared" ref="T16" si="13">AVERAGE(T2:T15)</f>
        <v>0.59</v>
      </c>
      <c r="U16">
        <f t="shared" ref="U16" si="14">AVERAGE(U2:U15)</f>
        <v>36.13928571428572</v>
      </c>
      <c r="V16">
        <f t="shared" ref="V16" si="15">AVERAGE(V2:V15)</f>
        <v>14.042857142857143</v>
      </c>
      <c r="W16">
        <v>12.91</v>
      </c>
      <c r="AA16">
        <f t="shared" ref="AA16" si="16">AVERAGE(AA2:AA15)</f>
        <v>20.792857142857144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74E-D17C-4278-83D4-2969D10E530E}">
  <dimension ref="A1:AI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P17" sqref="P17"/>
    </sheetView>
  </sheetViews>
  <sheetFormatPr defaultRowHeight="14.5" x14ac:dyDescent="0.35"/>
  <cols>
    <col min="1" max="1" width="4.26953125" customWidth="1"/>
    <col min="3" max="3" width="19.54296875" customWidth="1"/>
    <col min="4" max="4" width="6.453125" customWidth="1"/>
    <col min="5" max="5" width="5.6328125" customWidth="1"/>
    <col min="6" max="7" width="5.26953125" customWidth="1"/>
    <col min="10" max="10" width="5.81640625" customWidth="1"/>
    <col min="11" max="11" width="5.54296875" customWidth="1"/>
    <col min="12" max="12" width="6.08984375" customWidth="1"/>
    <col min="13" max="13" width="5.6328125" customWidth="1"/>
    <col min="14" max="14" width="5.36328125" customWidth="1"/>
    <col min="15" max="15" width="6.36328125" customWidth="1"/>
    <col min="16" max="16" width="6.6328125" customWidth="1"/>
    <col min="17" max="17" width="5" customWidth="1"/>
    <col min="18" max="18" width="6.81640625" customWidth="1"/>
    <col min="19" max="19" width="6.08984375" customWidth="1"/>
    <col min="20" max="20" width="5.6328125" customWidth="1"/>
    <col min="21" max="21" width="6.7265625" customWidth="1"/>
    <col min="22" max="22" width="6.54296875" customWidth="1"/>
    <col min="23" max="23" width="7.54296875" customWidth="1"/>
    <col min="24" max="24" width="20.453125" customWidth="1"/>
    <col min="26" max="26" width="0" hidden="1" customWidth="1"/>
    <col min="28" max="28" width="6.6328125" customWidth="1"/>
    <col min="29" max="29" width="9.1796875" customWidth="1"/>
  </cols>
  <sheetData>
    <row r="1" spans="1:35" x14ac:dyDescent="0.35">
      <c r="A1" s="4" t="s">
        <v>177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204</v>
      </c>
      <c r="I1" s="4" t="s">
        <v>154</v>
      </c>
      <c r="J1" s="4" t="s">
        <v>180</v>
      </c>
      <c r="K1" s="4" t="s">
        <v>181</v>
      </c>
      <c r="L1" s="4" t="s">
        <v>184</v>
      </c>
      <c r="M1" s="4" t="s">
        <v>182</v>
      </c>
      <c r="N1" s="4" t="s">
        <v>183</v>
      </c>
      <c r="O1" s="4" t="s">
        <v>198</v>
      </c>
      <c r="P1" s="4" t="s">
        <v>201</v>
      </c>
      <c r="Q1" s="4" t="s">
        <v>221</v>
      </c>
      <c r="R1" s="4" t="s">
        <v>222</v>
      </c>
      <c r="S1" s="4" t="s">
        <v>223</v>
      </c>
      <c r="T1" s="4" t="s">
        <v>200</v>
      </c>
      <c r="U1" s="4" t="s">
        <v>224</v>
      </c>
      <c r="V1" s="4" t="s">
        <v>237</v>
      </c>
      <c r="W1" s="4" t="s">
        <v>238</v>
      </c>
      <c r="X1" s="4" t="s">
        <v>185</v>
      </c>
      <c r="Y1" s="4" t="s">
        <v>168</v>
      </c>
      <c r="Z1" s="4" t="s">
        <v>197</v>
      </c>
      <c r="AA1" s="4" t="s">
        <v>203</v>
      </c>
      <c r="AB1" s="4" t="s">
        <v>241</v>
      </c>
      <c r="AC1" s="4"/>
      <c r="AD1" s="4" t="s">
        <v>282</v>
      </c>
      <c r="AE1" s="4" t="s">
        <v>283</v>
      </c>
      <c r="AF1" s="4" t="s">
        <v>284</v>
      </c>
      <c r="AG1" s="4" t="s">
        <v>285</v>
      </c>
      <c r="AH1" s="4" t="s">
        <v>286</v>
      </c>
      <c r="AI1" s="4" t="s">
        <v>287</v>
      </c>
    </row>
    <row r="2" spans="1:35" x14ac:dyDescent="0.35">
      <c r="A2" t="s">
        <v>274</v>
      </c>
      <c r="B2" s="22" t="s">
        <v>12</v>
      </c>
      <c r="C2" s="22" t="s">
        <v>164</v>
      </c>
      <c r="D2" s="32">
        <v>50.1</v>
      </c>
      <c r="E2" s="32">
        <v>141</v>
      </c>
      <c r="F2" s="32">
        <v>54.6</v>
      </c>
      <c r="G2" s="27">
        <v>137</v>
      </c>
      <c r="H2" s="27">
        <v>269</v>
      </c>
      <c r="I2" s="16">
        <v>2700000</v>
      </c>
      <c r="J2">
        <v>45.5</v>
      </c>
      <c r="K2">
        <v>35</v>
      </c>
      <c r="L2">
        <f t="shared" ref="L2" si="0">$J2-$K2</f>
        <v>10.5</v>
      </c>
      <c r="M2">
        <v>93.4</v>
      </c>
      <c r="N2">
        <v>70.400000000000006</v>
      </c>
      <c r="O2" s="25">
        <v>122.9</v>
      </c>
      <c r="P2" s="25">
        <v>3.1</v>
      </c>
      <c r="Q2" s="25">
        <v>0.9</v>
      </c>
      <c r="R2" s="32">
        <f t="shared" ref="R2:R3" si="1">1-($Q2/$P2)</f>
        <v>0.70967741935483875</v>
      </c>
      <c r="S2" s="32">
        <f t="shared" ref="S2:S3" si="2">$P2-$Q2</f>
        <v>2.2000000000000002</v>
      </c>
      <c r="T2" s="27">
        <v>0.77</v>
      </c>
      <c r="U2" s="27">
        <v>38.1</v>
      </c>
      <c r="V2" s="27">
        <v>22</v>
      </c>
      <c r="W2" s="32">
        <v>13.1</v>
      </c>
      <c r="X2" s="5" t="s">
        <v>214</v>
      </c>
      <c r="Y2" s="1" t="s">
        <v>170</v>
      </c>
      <c r="Z2" s="38">
        <v>235</v>
      </c>
      <c r="AA2" s="16">
        <f t="shared" ref="AA2:AA3" si="3">$O2-$M2</f>
        <v>29.5</v>
      </c>
      <c r="AB2" s="27" t="s">
        <v>337</v>
      </c>
      <c r="AC2" s="27" t="s">
        <v>353</v>
      </c>
      <c r="AD2">
        <v>46</v>
      </c>
      <c r="AE2">
        <v>38</v>
      </c>
      <c r="AF2">
        <f>$J2</f>
        <v>45.5</v>
      </c>
      <c r="AG2">
        <f>$K2</f>
        <v>35</v>
      </c>
      <c r="AH2" s="7">
        <f>$AD2-$AE2</f>
        <v>8</v>
      </c>
      <c r="AI2">
        <f>$L2</f>
        <v>10.5</v>
      </c>
    </row>
    <row r="3" spans="1:35" x14ac:dyDescent="0.35">
      <c r="A3" t="s">
        <v>274</v>
      </c>
      <c r="B3" s="7" t="s">
        <v>0</v>
      </c>
      <c r="C3" s="7" t="s">
        <v>175</v>
      </c>
      <c r="D3" s="16">
        <v>67.099999999999994</v>
      </c>
      <c r="E3" s="7">
        <v>147</v>
      </c>
      <c r="F3" s="16">
        <v>68.8</v>
      </c>
      <c r="G3" s="7">
        <v>131</v>
      </c>
      <c r="H3" s="16">
        <v>289</v>
      </c>
      <c r="I3" s="16">
        <v>2700000</v>
      </c>
      <c r="J3">
        <v>42.3</v>
      </c>
      <c r="K3">
        <v>32.700000000000003</v>
      </c>
      <c r="L3">
        <f t="shared" ref="L3" si="4">$J3-$K3</f>
        <v>9.5999999999999943</v>
      </c>
      <c r="M3">
        <v>94.6</v>
      </c>
      <c r="N3">
        <v>71.099999999999994</v>
      </c>
      <c r="O3">
        <v>117</v>
      </c>
      <c r="P3">
        <v>2.9</v>
      </c>
      <c r="Q3">
        <v>0.8</v>
      </c>
      <c r="R3" s="32">
        <f t="shared" si="1"/>
        <v>0.72413793103448276</v>
      </c>
      <c r="S3" s="32">
        <f t="shared" si="2"/>
        <v>2.0999999999999996</v>
      </c>
      <c r="T3" s="7">
        <v>0.42</v>
      </c>
      <c r="U3" s="7">
        <v>32.5</v>
      </c>
      <c r="V3" s="16">
        <v>19.8</v>
      </c>
      <c r="W3" s="7">
        <v>14.5</v>
      </c>
      <c r="X3" s="5" t="s">
        <v>205</v>
      </c>
      <c r="Y3" s="1" t="s">
        <v>195</v>
      </c>
      <c r="Z3" s="38">
        <v>240</v>
      </c>
      <c r="AA3" s="7">
        <f t="shared" si="3"/>
        <v>22.400000000000006</v>
      </c>
      <c r="AB3" s="7" t="s">
        <v>336</v>
      </c>
      <c r="AC3" s="7" t="s">
        <v>354</v>
      </c>
      <c r="AD3">
        <v>45</v>
      </c>
      <c r="AE3">
        <v>35</v>
      </c>
      <c r="AF3">
        <f t="shared" ref="AF3:AF15" si="5">$J3</f>
        <v>42.3</v>
      </c>
      <c r="AG3">
        <f t="shared" ref="AG3:AG15" si="6">$K3</f>
        <v>32.700000000000003</v>
      </c>
      <c r="AH3" s="30">
        <f t="shared" ref="AH3:AH15" si="7">$AD3-$AE3</f>
        <v>10</v>
      </c>
      <c r="AI3">
        <f t="shared" ref="AI3:AI15" si="8">$L3</f>
        <v>9.5999999999999943</v>
      </c>
    </row>
    <row r="4" spans="1:35" x14ac:dyDescent="0.35">
      <c r="A4" t="s">
        <v>274</v>
      </c>
      <c r="B4" s="27" t="s">
        <v>27</v>
      </c>
      <c r="C4" s="27" t="s">
        <v>226</v>
      </c>
      <c r="D4" s="16">
        <v>67.8</v>
      </c>
      <c r="E4" s="16">
        <v>154</v>
      </c>
      <c r="F4" s="16">
        <v>67.5</v>
      </c>
      <c r="G4" s="16">
        <v>153</v>
      </c>
      <c r="H4" s="7">
        <v>235</v>
      </c>
      <c r="I4" s="7">
        <v>3400000</v>
      </c>
      <c r="J4">
        <v>45.8</v>
      </c>
      <c r="K4">
        <v>37.700000000000003</v>
      </c>
      <c r="L4">
        <f t="shared" ref="L4:L10" si="9">$J4-$K4</f>
        <v>8.0999999999999943</v>
      </c>
      <c r="M4">
        <v>95.7</v>
      </c>
      <c r="N4">
        <v>71.599999999999994</v>
      </c>
      <c r="O4">
        <v>120.7</v>
      </c>
      <c r="P4">
        <v>2.4</v>
      </c>
      <c r="Q4">
        <v>0.5</v>
      </c>
      <c r="R4" s="27">
        <f>1-($Q4/$P4)</f>
        <v>0.79166666666666663</v>
      </c>
      <c r="S4" s="32">
        <f>$P4-$Q4</f>
        <v>1.9</v>
      </c>
      <c r="T4" s="16">
        <v>0.96</v>
      </c>
      <c r="U4" s="7">
        <f>AVERAGE(22.8,37)</f>
        <v>29.9</v>
      </c>
      <c r="V4" s="16">
        <v>16.5</v>
      </c>
      <c r="W4" s="16">
        <v>18.2</v>
      </c>
      <c r="X4" s="5" t="s">
        <v>229</v>
      </c>
      <c r="Y4" s="1" t="s">
        <v>170</v>
      </c>
      <c r="Z4" s="38">
        <v>210</v>
      </c>
      <c r="AA4" s="16">
        <f>$O4-$M4</f>
        <v>25</v>
      </c>
      <c r="AB4" s="27" t="s">
        <v>332</v>
      </c>
      <c r="AC4" s="27" t="s">
        <v>355</v>
      </c>
      <c r="AD4">
        <v>45</v>
      </c>
      <c r="AE4">
        <v>37</v>
      </c>
      <c r="AF4">
        <f t="shared" si="5"/>
        <v>45.8</v>
      </c>
      <c r="AG4">
        <f t="shared" si="6"/>
        <v>37.700000000000003</v>
      </c>
      <c r="AH4" s="30">
        <f t="shared" si="7"/>
        <v>8</v>
      </c>
      <c r="AI4">
        <f t="shared" si="8"/>
        <v>8.0999999999999943</v>
      </c>
    </row>
    <row r="5" spans="1:35" x14ac:dyDescent="0.35">
      <c r="A5" t="s">
        <v>274</v>
      </c>
      <c r="B5" s="7" t="s">
        <v>38</v>
      </c>
      <c r="C5" s="7" t="s">
        <v>254</v>
      </c>
      <c r="D5" s="7">
        <v>60.3</v>
      </c>
      <c r="E5" s="16">
        <v>170</v>
      </c>
      <c r="F5" s="7">
        <v>59.8</v>
      </c>
      <c r="G5" s="16">
        <v>137</v>
      </c>
      <c r="H5" s="7">
        <v>264</v>
      </c>
      <c r="I5" s="16">
        <v>3100000</v>
      </c>
      <c r="J5">
        <v>46</v>
      </c>
      <c r="K5">
        <v>37.5</v>
      </c>
      <c r="L5">
        <f t="shared" si="9"/>
        <v>8.5</v>
      </c>
      <c r="M5">
        <v>96.5</v>
      </c>
      <c r="N5">
        <v>72.900000000000006</v>
      </c>
      <c r="O5">
        <v>116.4</v>
      </c>
      <c r="P5">
        <v>3.5</v>
      </c>
      <c r="Q5">
        <v>0.6</v>
      </c>
      <c r="R5" s="27">
        <f t="shared" ref="R5:R15" si="10">1-($Q5/$P5)</f>
        <v>0.82857142857142851</v>
      </c>
      <c r="S5" s="27">
        <f t="shared" ref="S5:S15" si="11">$P5-$Q5</f>
        <v>2.9</v>
      </c>
      <c r="T5" s="7">
        <v>0.45</v>
      </c>
      <c r="U5" s="7">
        <f>AVERAGE(21.6,34.8)</f>
        <v>28.2</v>
      </c>
      <c r="V5" s="7">
        <v>13.5</v>
      </c>
      <c r="W5" s="16">
        <v>17.7</v>
      </c>
      <c r="X5" s="5" t="s">
        <v>256</v>
      </c>
      <c r="Y5" s="1" t="s">
        <v>257</v>
      </c>
      <c r="Z5" s="38"/>
      <c r="AA5" s="7">
        <f t="shared" ref="AA5:AA15" si="12">$O5-$M5</f>
        <v>19.900000000000006</v>
      </c>
      <c r="AB5" s="7" t="s">
        <v>334</v>
      </c>
      <c r="AC5" s="7" t="s">
        <v>356</v>
      </c>
      <c r="AD5">
        <v>44.5</v>
      </c>
      <c r="AE5">
        <v>36.5</v>
      </c>
      <c r="AF5">
        <f t="shared" si="5"/>
        <v>46</v>
      </c>
      <c r="AG5">
        <f t="shared" si="6"/>
        <v>37.5</v>
      </c>
      <c r="AH5" s="30">
        <f t="shared" si="7"/>
        <v>8</v>
      </c>
      <c r="AI5">
        <f t="shared" si="8"/>
        <v>8.5</v>
      </c>
    </row>
    <row r="6" spans="1:35" x14ac:dyDescent="0.35">
      <c r="A6" t="s">
        <v>274</v>
      </c>
      <c r="B6" s="32" t="s">
        <v>55</v>
      </c>
      <c r="C6" s="32" t="s">
        <v>255</v>
      </c>
      <c r="D6" s="7">
        <v>48</v>
      </c>
      <c r="E6" s="7">
        <v>137</v>
      </c>
      <c r="F6" s="7">
        <v>49.6</v>
      </c>
      <c r="G6" s="7">
        <v>128</v>
      </c>
      <c r="H6" s="16">
        <v>318</v>
      </c>
      <c r="I6" s="7">
        <v>3200000</v>
      </c>
      <c r="J6">
        <v>45.4</v>
      </c>
      <c r="K6">
        <v>37.299999999999997</v>
      </c>
      <c r="L6">
        <f t="shared" si="9"/>
        <v>8.1000000000000014</v>
      </c>
      <c r="M6">
        <v>96.5</v>
      </c>
      <c r="N6">
        <v>73.400000000000006</v>
      </c>
      <c r="O6">
        <v>119</v>
      </c>
      <c r="P6">
        <v>3.5</v>
      </c>
      <c r="Q6">
        <v>1.1000000000000001</v>
      </c>
      <c r="R6" s="32">
        <f t="shared" si="10"/>
        <v>0.68571428571428572</v>
      </c>
      <c r="S6" s="27">
        <f t="shared" si="11"/>
        <v>2.4</v>
      </c>
      <c r="T6" s="7">
        <v>0.61</v>
      </c>
      <c r="U6" s="7">
        <f>AVERAGE(30.9,36.5)</f>
        <v>33.700000000000003</v>
      </c>
      <c r="V6" s="16">
        <v>21.9</v>
      </c>
      <c r="W6" s="16">
        <v>19.600000000000001</v>
      </c>
      <c r="X6" s="5" t="s">
        <v>252</v>
      </c>
      <c r="Y6" s="1" t="s">
        <v>253</v>
      </c>
      <c r="Z6" s="38"/>
      <c r="AA6" s="7">
        <f t="shared" si="12"/>
        <v>22.5</v>
      </c>
      <c r="AB6" s="32" t="s">
        <v>339</v>
      </c>
      <c r="AC6" s="32" t="s">
        <v>357</v>
      </c>
      <c r="AD6">
        <v>45</v>
      </c>
      <c r="AE6">
        <v>39</v>
      </c>
      <c r="AF6">
        <f t="shared" si="5"/>
        <v>45.4</v>
      </c>
      <c r="AG6">
        <f t="shared" si="6"/>
        <v>37.299999999999997</v>
      </c>
      <c r="AH6" s="7">
        <f t="shared" si="7"/>
        <v>6</v>
      </c>
      <c r="AI6">
        <f t="shared" si="8"/>
        <v>8.1000000000000014</v>
      </c>
    </row>
    <row r="7" spans="1:35" x14ac:dyDescent="0.35">
      <c r="A7" t="s">
        <v>274</v>
      </c>
      <c r="B7" s="16" t="s">
        <v>258</v>
      </c>
      <c r="C7" s="16" t="s">
        <v>259</v>
      </c>
      <c r="D7" s="16">
        <v>66.099999999999994</v>
      </c>
      <c r="E7" s="7">
        <v>139</v>
      </c>
      <c r="F7" s="16">
        <v>69.400000000000006</v>
      </c>
      <c r="G7" s="7">
        <v>122</v>
      </c>
      <c r="H7" s="7">
        <v>264</v>
      </c>
      <c r="I7" s="7">
        <v>4700000</v>
      </c>
      <c r="J7">
        <v>43.4</v>
      </c>
      <c r="K7">
        <v>34.200000000000003</v>
      </c>
      <c r="L7">
        <f t="shared" si="9"/>
        <v>9.1999999999999957</v>
      </c>
      <c r="M7">
        <v>95</v>
      </c>
      <c r="N7">
        <v>72.8</v>
      </c>
      <c r="O7">
        <v>118.6</v>
      </c>
      <c r="P7">
        <v>3.2</v>
      </c>
      <c r="Q7">
        <v>0.5</v>
      </c>
      <c r="R7" s="27">
        <f t="shared" si="10"/>
        <v>0.84375</v>
      </c>
      <c r="S7" s="27">
        <f t="shared" si="11"/>
        <v>2.7</v>
      </c>
      <c r="T7" s="7">
        <v>0.5</v>
      </c>
      <c r="U7" s="16">
        <f>AVERAGE(37.2,51.2)</f>
        <v>44.2</v>
      </c>
      <c r="V7" s="16">
        <v>21.2</v>
      </c>
      <c r="W7" s="7">
        <v>17</v>
      </c>
      <c r="X7" s="5" t="s">
        <v>260</v>
      </c>
      <c r="Y7" s="1" t="s">
        <v>193</v>
      </c>
      <c r="Z7" s="38"/>
      <c r="AA7" s="16">
        <f t="shared" si="12"/>
        <v>23.599999999999994</v>
      </c>
      <c r="AB7" s="16" t="s">
        <v>337</v>
      </c>
      <c r="AC7" s="16" t="s">
        <v>353</v>
      </c>
      <c r="AD7">
        <v>37</v>
      </c>
      <c r="AE7">
        <v>31</v>
      </c>
      <c r="AF7">
        <f t="shared" si="5"/>
        <v>43.4</v>
      </c>
      <c r="AG7">
        <f t="shared" si="6"/>
        <v>34.200000000000003</v>
      </c>
      <c r="AH7" s="7">
        <f t="shared" si="7"/>
        <v>6</v>
      </c>
      <c r="AI7">
        <f t="shared" si="8"/>
        <v>9.1999999999999957</v>
      </c>
    </row>
    <row r="8" spans="1:35" x14ac:dyDescent="0.35">
      <c r="A8" t="s">
        <v>274</v>
      </c>
      <c r="B8" s="16" t="s">
        <v>22</v>
      </c>
      <c r="C8" s="16" t="s">
        <v>263</v>
      </c>
      <c r="D8" s="16">
        <v>67.599999999999994</v>
      </c>
      <c r="E8" s="16">
        <v>149</v>
      </c>
      <c r="F8" s="16">
        <v>71.2</v>
      </c>
      <c r="G8" s="16">
        <v>136</v>
      </c>
      <c r="H8" s="16">
        <v>272</v>
      </c>
      <c r="I8" s="16">
        <v>2500000</v>
      </c>
      <c r="J8">
        <v>42.3</v>
      </c>
      <c r="K8">
        <v>32.299999999999997</v>
      </c>
      <c r="L8">
        <f t="shared" si="9"/>
        <v>10</v>
      </c>
      <c r="M8">
        <v>93.8</v>
      </c>
      <c r="N8">
        <v>71.400000000000006</v>
      </c>
      <c r="O8">
        <v>124</v>
      </c>
      <c r="P8">
        <v>3.3</v>
      </c>
      <c r="Q8">
        <v>0.7</v>
      </c>
      <c r="R8" s="27">
        <f t="shared" si="10"/>
        <v>0.78787878787878785</v>
      </c>
      <c r="S8" s="27">
        <f t="shared" si="11"/>
        <v>2.5999999999999996</v>
      </c>
      <c r="T8" s="7">
        <v>0.62</v>
      </c>
      <c r="U8" s="16">
        <v>42.8</v>
      </c>
      <c r="V8" s="7">
        <v>17.5</v>
      </c>
      <c r="W8" s="7">
        <v>11.9</v>
      </c>
      <c r="X8" s="5" t="s">
        <v>306</v>
      </c>
      <c r="Y8" s="1" t="s">
        <v>253</v>
      </c>
      <c r="Z8" s="38"/>
      <c r="AA8" s="16">
        <f t="shared" si="12"/>
        <v>30.200000000000003</v>
      </c>
      <c r="AB8" s="27" t="s">
        <v>333</v>
      </c>
      <c r="AC8" s="27" t="s">
        <v>358</v>
      </c>
      <c r="AD8">
        <v>37</v>
      </c>
      <c r="AE8">
        <v>27</v>
      </c>
      <c r="AF8">
        <f t="shared" si="5"/>
        <v>42.3</v>
      </c>
      <c r="AG8">
        <f t="shared" si="6"/>
        <v>32.299999999999997</v>
      </c>
      <c r="AH8" s="30">
        <f t="shared" si="7"/>
        <v>10</v>
      </c>
      <c r="AI8">
        <f t="shared" si="8"/>
        <v>10</v>
      </c>
    </row>
    <row r="9" spans="1:35" x14ac:dyDescent="0.35">
      <c r="A9" t="s">
        <v>274</v>
      </c>
      <c r="B9" s="16" t="s">
        <v>51</v>
      </c>
      <c r="C9" s="16" t="s">
        <v>269</v>
      </c>
      <c r="D9" s="16">
        <v>72.2</v>
      </c>
      <c r="E9" s="16">
        <v>152</v>
      </c>
      <c r="F9" s="16">
        <v>73.2</v>
      </c>
      <c r="G9" s="7">
        <v>120</v>
      </c>
      <c r="H9" s="7">
        <v>255</v>
      </c>
      <c r="I9" s="7">
        <v>3500000</v>
      </c>
      <c r="J9">
        <v>43.2</v>
      </c>
      <c r="K9">
        <v>31.5</v>
      </c>
      <c r="L9">
        <f t="shared" si="9"/>
        <v>11.700000000000003</v>
      </c>
      <c r="M9">
        <v>95.7</v>
      </c>
      <c r="N9">
        <v>71.2</v>
      </c>
      <c r="O9">
        <v>121.7</v>
      </c>
      <c r="P9">
        <v>3.8</v>
      </c>
      <c r="Q9">
        <v>1.4</v>
      </c>
      <c r="R9" s="32">
        <f t="shared" si="10"/>
        <v>0.63157894736842102</v>
      </c>
      <c r="S9" s="27">
        <f t="shared" si="11"/>
        <v>2.4</v>
      </c>
      <c r="T9" s="16">
        <v>0.65</v>
      </c>
      <c r="U9" s="16">
        <v>38.5</v>
      </c>
      <c r="V9" s="16">
        <v>18.3</v>
      </c>
      <c r="W9" s="7">
        <v>16.600000000000001</v>
      </c>
      <c r="X9" s="5" t="s">
        <v>271</v>
      </c>
      <c r="Y9" s="1" t="s">
        <v>270</v>
      </c>
      <c r="Z9" s="38"/>
      <c r="AA9" s="16">
        <f t="shared" si="12"/>
        <v>26</v>
      </c>
      <c r="AB9" s="16" t="s">
        <v>338</v>
      </c>
      <c r="AC9" s="16" t="s">
        <v>359</v>
      </c>
      <c r="AD9">
        <v>41</v>
      </c>
      <c r="AE9">
        <v>33</v>
      </c>
      <c r="AF9">
        <f t="shared" si="5"/>
        <v>43.2</v>
      </c>
      <c r="AG9">
        <f t="shared" si="6"/>
        <v>31.5</v>
      </c>
      <c r="AH9" s="7">
        <f t="shared" si="7"/>
        <v>8</v>
      </c>
      <c r="AI9">
        <f t="shared" si="8"/>
        <v>11.700000000000003</v>
      </c>
    </row>
    <row r="10" spans="1:35" x14ac:dyDescent="0.35">
      <c r="A10" t="s">
        <v>274</v>
      </c>
      <c r="B10" s="16" t="s">
        <v>55</v>
      </c>
      <c r="C10" s="16" t="s">
        <v>272</v>
      </c>
      <c r="D10" s="16">
        <v>63.9</v>
      </c>
      <c r="E10" s="16">
        <v>151</v>
      </c>
      <c r="F10" s="16">
        <v>66.2</v>
      </c>
      <c r="G10" s="16">
        <v>133</v>
      </c>
      <c r="H10" s="16">
        <v>283</v>
      </c>
      <c r="I10" s="16">
        <v>2800000</v>
      </c>
      <c r="J10">
        <v>45.6</v>
      </c>
      <c r="K10">
        <v>35</v>
      </c>
      <c r="L10">
        <f t="shared" si="9"/>
        <v>10.600000000000001</v>
      </c>
      <c r="M10">
        <v>94.9</v>
      </c>
      <c r="N10">
        <v>72.599999999999994</v>
      </c>
      <c r="O10">
        <v>115.4</v>
      </c>
      <c r="P10">
        <v>2.8</v>
      </c>
      <c r="Q10">
        <v>0.9</v>
      </c>
      <c r="R10" s="32">
        <f t="shared" si="10"/>
        <v>0.6785714285714286</v>
      </c>
      <c r="S10" s="32">
        <f t="shared" si="11"/>
        <v>1.9</v>
      </c>
      <c r="T10" s="7">
        <v>0.51</v>
      </c>
      <c r="U10" s="7">
        <f>AVERAGE(25.7,40.1)</f>
        <v>32.9</v>
      </c>
      <c r="V10" s="7">
        <v>17</v>
      </c>
      <c r="W10" s="16">
        <v>21.4</v>
      </c>
      <c r="X10" s="5" t="s">
        <v>306</v>
      </c>
      <c r="Y10" s="1" t="s">
        <v>193</v>
      </c>
      <c r="Z10" s="38"/>
      <c r="AA10" s="7">
        <f t="shared" si="12"/>
        <v>20.5</v>
      </c>
      <c r="AB10" s="27" t="s">
        <v>337</v>
      </c>
      <c r="AC10" s="27" t="s">
        <v>353</v>
      </c>
      <c r="AD10">
        <v>46</v>
      </c>
      <c r="AE10">
        <v>40</v>
      </c>
      <c r="AF10">
        <f t="shared" si="5"/>
        <v>45.6</v>
      </c>
      <c r="AG10">
        <f t="shared" si="6"/>
        <v>35</v>
      </c>
      <c r="AH10" s="7">
        <f t="shared" si="7"/>
        <v>6</v>
      </c>
      <c r="AI10">
        <f t="shared" si="8"/>
        <v>10.600000000000001</v>
      </c>
    </row>
    <row r="11" spans="1:35" x14ac:dyDescent="0.35">
      <c r="A11" t="s">
        <v>274</v>
      </c>
      <c r="B11" s="7" t="s">
        <v>7</v>
      </c>
      <c r="C11" s="7" t="s">
        <v>167</v>
      </c>
      <c r="D11" s="16">
        <v>73.599999999999994</v>
      </c>
      <c r="E11" s="16">
        <v>154</v>
      </c>
      <c r="F11" s="16">
        <v>72.8</v>
      </c>
      <c r="G11" s="16">
        <v>145</v>
      </c>
      <c r="H11" s="7">
        <v>247</v>
      </c>
      <c r="I11" s="7">
        <v>3500000</v>
      </c>
      <c r="J11">
        <v>44.6</v>
      </c>
      <c r="K11">
        <v>38.1</v>
      </c>
      <c r="L11">
        <f t="shared" ref="L11:L15" si="13">$J11-$K11</f>
        <v>6.5</v>
      </c>
      <c r="M11">
        <v>97.4</v>
      </c>
      <c r="N11">
        <v>71.400000000000006</v>
      </c>
      <c r="O11">
        <v>117.7</v>
      </c>
      <c r="P11">
        <v>2</v>
      </c>
      <c r="Q11">
        <v>0.6</v>
      </c>
      <c r="R11" s="32">
        <f t="shared" si="10"/>
        <v>0.7</v>
      </c>
      <c r="S11" s="32">
        <f t="shared" si="11"/>
        <v>1.4</v>
      </c>
      <c r="T11" s="16">
        <v>0.89</v>
      </c>
      <c r="U11" s="7">
        <v>32.5</v>
      </c>
      <c r="V11" s="16">
        <v>19.8</v>
      </c>
      <c r="W11" s="7">
        <v>14.5</v>
      </c>
      <c r="X11" s="5" t="s">
        <v>187</v>
      </c>
      <c r="Y11" s="1" t="s">
        <v>193</v>
      </c>
      <c r="Z11" s="38">
        <v>221</v>
      </c>
      <c r="AA11" s="7">
        <f t="shared" si="12"/>
        <v>20.299999999999997</v>
      </c>
      <c r="AB11" s="7" t="s">
        <v>334</v>
      </c>
      <c r="AC11" s="7" t="s">
        <v>356</v>
      </c>
      <c r="AD11">
        <v>45</v>
      </c>
      <c r="AE11">
        <v>39</v>
      </c>
      <c r="AF11">
        <f t="shared" si="5"/>
        <v>44.6</v>
      </c>
      <c r="AG11">
        <f t="shared" si="6"/>
        <v>38.1</v>
      </c>
      <c r="AH11" s="30">
        <f t="shared" si="7"/>
        <v>6</v>
      </c>
      <c r="AI11">
        <f t="shared" si="8"/>
        <v>6.5</v>
      </c>
    </row>
    <row r="12" spans="1:35" x14ac:dyDescent="0.35">
      <c r="A12" t="s">
        <v>274</v>
      </c>
      <c r="B12" s="7" t="s">
        <v>0</v>
      </c>
      <c r="C12" s="7" t="s">
        <v>125</v>
      </c>
      <c r="D12" s="7">
        <v>56.9</v>
      </c>
      <c r="E12" s="7">
        <v>147</v>
      </c>
      <c r="F12" s="7">
        <v>58.9</v>
      </c>
      <c r="G12" s="7">
        <v>116</v>
      </c>
      <c r="H12" s="16">
        <v>298</v>
      </c>
      <c r="I12" s="16">
        <v>2250000</v>
      </c>
      <c r="J12">
        <v>42.5</v>
      </c>
      <c r="K12">
        <v>28.6</v>
      </c>
      <c r="L12">
        <f t="shared" si="13"/>
        <v>13.899999999999999</v>
      </c>
      <c r="M12">
        <v>95.6</v>
      </c>
      <c r="N12">
        <v>69.599999999999994</v>
      </c>
      <c r="O12">
        <v>116.6</v>
      </c>
      <c r="P12">
        <v>3.8</v>
      </c>
      <c r="Q12">
        <v>1.1000000000000001</v>
      </c>
      <c r="R12" s="32">
        <f t="shared" si="10"/>
        <v>0.71052631578947367</v>
      </c>
      <c r="S12" s="27">
        <f t="shared" si="11"/>
        <v>2.6999999999999997</v>
      </c>
      <c r="T12" s="7">
        <v>0.38</v>
      </c>
      <c r="U12" s="16">
        <f>AVERAGE(30.5,44.3)</f>
        <v>37.4</v>
      </c>
      <c r="V12" s="7">
        <v>16</v>
      </c>
      <c r="W12" s="16" t="s">
        <v>331</v>
      </c>
      <c r="X12" s="5" t="s">
        <v>205</v>
      </c>
      <c r="Y12" s="1" t="s">
        <v>170</v>
      </c>
      <c r="Z12" s="38"/>
      <c r="AA12" s="7">
        <f t="shared" si="12"/>
        <v>21</v>
      </c>
      <c r="AB12" s="32" t="s">
        <v>336</v>
      </c>
      <c r="AC12" s="32" t="s">
        <v>354</v>
      </c>
      <c r="AD12">
        <v>45</v>
      </c>
      <c r="AE12">
        <v>35</v>
      </c>
      <c r="AF12">
        <f t="shared" si="5"/>
        <v>42.5</v>
      </c>
      <c r="AG12">
        <f t="shared" si="6"/>
        <v>28.6</v>
      </c>
      <c r="AH12" s="7">
        <f t="shared" si="7"/>
        <v>10</v>
      </c>
      <c r="AI12">
        <f t="shared" si="8"/>
        <v>13.899999999999999</v>
      </c>
    </row>
    <row r="13" spans="1:35" x14ac:dyDescent="0.35">
      <c r="A13" t="s">
        <v>274</v>
      </c>
      <c r="B13" s="16" t="s">
        <v>27</v>
      </c>
      <c r="C13" s="16" t="s">
        <v>166</v>
      </c>
      <c r="D13" s="27">
        <v>73</v>
      </c>
      <c r="E13" s="27">
        <v>160</v>
      </c>
      <c r="F13" s="27">
        <v>73.8</v>
      </c>
      <c r="G13" s="27">
        <v>144</v>
      </c>
      <c r="H13" s="32">
        <v>218</v>
      </c>
      <c r="I13" s="7">
        <v>3800000</v>
      </c>
      <c r="J13">
        <v>45.1</v>
      </c>
      <c r="K13">
        <v>37</v>
      </c>
      <c r="L13">
        <f t="shared" si="13"/>
        <v>8.1000000000000014</v>
      </c>
      <c r="M13">
        <v>93.7</v>
      </c>
      <c r="N13">
        <v>74.3</v>
      </c>
      <c r="O13" s="25">
        <v>117.9</v>
      </c>
      <c r="P13" s="25">
        <v>3</v>
      </c>
      <c r="Q13" s="25">
        <v>0.9</v>
      </c>
      <c r="R13" s="32">
        <f t="shared" si="10"/>
        <v>0.7</v>
      </c>
      <c r="S13" s="32">
        <f t="shared" si="11"/>
        <v>2.1</v>
      </c>
      <c r="T13" s="27">
        <v>0.8</v>
      </c>
      <c r="U13" s="32">
        <v>30.8</v>
      </c>
      <c r="V13" s="27">
        <v>18.8</v>
      </c>
      <c r="W13" s="27">
        <v>20.7</v>
      </c>
      <c r="X13" s="5" t="s">
        <v>188</v>
      </c>
      <c r="Y13" s="1" t="s">
        <v>169</v>
      </c>
      <c r="Z13" s="38">
        <v>202</v>
      </c>
      <c r="AA13" s="16">
        <f t="shared" si="12"/>
        <v>24.200000000000003</v>
      </c>
      <c r="AB13" s="16" t="s">
        <v>338</v>
      </c>
      <c r="AC13" s="16" t="s">
        <v>359</v>
      </c>
      <c r="AD13">
        <v>45</v>
      </c>
      <c r="AE13">
        <v>37</v>
      </c>
      <c r="AF13">
        <f t="shared" si="5"/>
        <v>45.1</v>
      </c>
      <c r="AG13">
        <f t="shared" si="6"/>
        <v>37</v>
      </c>
      <c r="AH13" s="30">
        <f t="shared" si="7"/>
        <v>8</v>
      </c>
      <c r="AI13">
        <f t="shared" si="8"/>
        <v>8.1000000000000014</v>
      </c>
    </row>
    <row r="14" spans="1:35" x14ac:dyDescent="0.35">
      <c r="A14" t="s">
        <v>274</v>
      </c>
      <c r="B14" s="16" t="s">
        <v>27</v>
      </c>
      <c r="C14" s="16" t="s">
        <v>275</v>
      </c>
      <c r="D14" s="7">
        <v>56.1</v>
      </c>
      <c r="E14" s="7">
        <v>137</v>
      </c>
      <c r="F14" s="7">
        <v>58.6</v>
      </c>
      <c r="G14" s="7">
        <v>117</v>
      </c>
      <c r="H14" s="16">
        <v>264</v>
      </c>
      <c r="I14" s="16">
        <v>2900000</v>
      </c>
      <c r="J14">
        <v>42.1</v>
      </c>
      <c r="K14">
        <v>31.1</v>
      </c>
      <c r="L14">
        <f t="shared" si="13"/>
        <v>11</v>
      </c>
      <c r="M14">
        <v>96.1</v>
      </c>
      <c r="N14">
        <v>72.599999999999994</v>
      </c>
      <c r="O14">
        <v>115</v>
      </c>
      <c r="P14">
        <v>3.6</v>
      </c>
      <c r="Q14">
        <v>0.6</v>
      </c>
      <c r="R14" s="27">
        <f t="shared" si="10"/>
        <v>0.83333333333333337</v>
      </c>
      <c r="S14" s="27">
        <f t="shared" si="11"/>
        <v>3</v>
      </c>
      <c r="T14" s="16">
        <v>0.86</v>
      </c>
      <c r="U14" s="16">
        <f>AVERAGE(32.8,41.5)</f>
        <v>37.15</v>
      </c>
      <c r="V14" s="7">
        <v>17.5</v>
      </c>
      <c r="W14" s="16">
        <v>20.3</v>
      </c>
      <c r="X14" s="5" t="s">
        <v>276</v>
      </c>
      <c r="Y14" s="1" t="s">
        <v>228</v>
      </c>
      <c r="Z14" s="38"/>
      <c r="AA14" s="7">
        <f t="shared" si="12"/>
        <v>18.900000000000006</v>
      </c>
      <c r="AB14" s="27" t="s">
        <v>337</v>
      </c>
      <c r="AC14" s="27" t="s">
        <v>353</v>
      </c>
      <c r="AD14">
        <v>46</v>
      </c>
      <c r="AE14">
        <v>40</v>
      </c>
      <c r="AF14">
        <f t="shared" si="5"/>
        <v>42.1</v>
      </c>
      <c r="AG14">
        <f t="shared" si="6"/>
        <v>31.1</v>
      </c>
      <c r="AH14" s="7">
        <f t="shared" si="7"/>
        <v>6</v>
      </c>
      <c r="AI14">
        <f t="shared" si="8"/>
        <v>11</v>
      </c>
    </row>
    <row r="15" spans="1:35" x14ac:dyDescent="0.35">
      <c r="A15" t="s">
        <v>274</v>
      </c>
      <c r="B15" s="7" t="s">
        <v>16</v>
      </c>
      <c r="C15" s="7" t="s">
        <v>155</v>
      </c>
      <c r="D15" s="7">
        <v>52.3</v>
      </c>
      <c r="E15" s="7">
        <v>147</v>
      </c>
      <c r="F15" s="7">
        <v>57.2</v>
      </c>
      <c r="G15" s="7">
        <v>122</v>
      </c>
      <c r="H15" s="16">
        <v>275</v>
      </c>
      <c r="I15" s="16">
        <v>2600000</v>
      </c>
      <c r="J15">
        <v>44.4</v>
      </c>
      <c r="K15">
        <v>32</v>
      </c>
      <c r="L15">
        <f t="shared" si="13"/>
        <v>12.399999999999999</v>
      </c>
      <c r="M15">
        <v>97.2</v>
      </c>
      <c r="N15">
        <v>73.099999999999994</v>
      </c>
      <c r="O15">
        <v>116.9</v>
      </c>
      <c r="P15">
        <v>3.6</v>
      </c>
      <c r="Q15">
        <v>1</v>
      </c>
      <c r="R15" s="32">
        <f t="shared" si="10"/>
        <v>0.72222222222222221</v>
      </c>
      <c r="S15" s="27">
        <f t="shared" si="11"/>
        <v>2.6</v>
      </c>
      <c r="T15" s="7">
        <v>0.49</v>
      </c>
      <c r="U15" s="7">
        <v>34.200000000000003</v>
      </c>
      <c r="V15" s="7">
        <v>14.7</v>
      </c>
      <c r="W15" s="16" t="s">
        <v>330</v>
      </c>
      <c r="X15" s="5" t="s">
        <v>252</v>
      </c>
      <c r="Y15" s="1" t="s">
        <v>253</v>
      </c>
      <c r="Z15" s="38"/>
      <c r="AA15" s="7">
        <f t="shared" si="12"/>
        <v>19.700000000000003</v>
      </c>
      <c r="AB15" s="7" t="s">
        <v>339</v>
      </c>
      <c r="AC15" s="7" t="s">
        <v>357</v>
      </c>
      <c r="AD15">
        <v>42</v>
      </c>
      <c r="AE15">
        <v>34</v>
      </c>
      <c r="AF15">
        <f t="shared" si="5"/>
        <v>44.4</v>
      </c>
      <c r="AG15">
        <f t="shared" si="6"/>
        <v>32</v>
      </c>
      <c r="AH15" s="7">
        <f t="shared" si="7"/>
        <v>8</v>
      </c>
      <c r="AI15">
        <f t="shared" si="8"/>
        <v>12.399999999999999</v>
      </c>
    </row>
    <row r="16" spans="1:35" x14ac:dyDescent="0.35">
      <c r="C16" s="1" t="s">
        <v>329</v>
      </c>
      <c r="D16">
        <f>AVERAGE(D2:D15)</f>
        <v>62.5</v>
      </c>
      <c r="E16">
        <f t="shared" ref="E16:I16" si="14">AVERAGE(E2:E15)</f>
        <v>148.92857142857142</v>
      </c>
      <c r="F16">
        <f t="shared" si="14"/>
        <v>64.400000000000006</v>
      </c>
      <c r="G16">
        <f t="shared" si="14"/>
        <v>131.5</v>
      </c>
      <c r="H16">
        <f t="shared" si="14"/>
        <v>267.92857142857144</v>
      </c>
      <c r="I16">
        <f t="shared" si="14"/>
        <v>3117857.1428571427</v>
      </c>
      <c r="R16">
        <f t="shared" ref="R16" si="15">AVERAGE(R2:R15)</f>
        <v>0.73911634046466923</v>
      </c>
      <c r="S16">
        <f t="shared" ref="S16" si="16">AVERAGE(S2:S15)</f>
        <v>2.3499999999999992</v>
      </c>
      <c r="T16">
        <f t="shared" ref="T16" si="17">AVERAGE(T2:T15)</f>
        <v>0.63642857142857145</v>
      </c>
      <c r="U16">
        <f t="shared" ref="U16" si="18">AVERAGE(U2:U15)</f>
        <v>35.203571428571422</v>
      </c>
      <c r="V16">
        <f t="shared" ref="V16" si="19">AVERAGE(V2:V15)</f>
        <v>18.178571428571427</v>
      </c>
      <c r="W16">
        <v>17.125</v>
      </c>
      <c r="AA16">
        <f t="shared" ref="AA16" si="20">AVERAGE(AA2:AA15)</f>
        <v>23.12142857142857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DBA3-8128-4C68-AB95-ADDD9D07857E}">
  <dimension ref="A1:AI1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15" sqref="F15"/>
    </sheetView>
  </sheetViews>
  <sheetFormatPr defaultRowHeight="14.5" x14ac:dyDescent="0.35"/>
  <cols>
    <col min="1" max="1" width="2.90625" customWidth="1"/>
    <col min="3" max="3" width="20" customWidth="1"/>
    <col min="4" max="7" width="5.6328125" customWidth="1"/>
    <col min="10" max="14" width="5.6328125" customWidth="1"/>
    <col min="15" max="23" width="7.1796875" customWidth="1"/>
    <col min="24" max="24" width="24.26953125" customWidth="1"/>
    <col min="25" max="25" width="10.26953125" customWidth="1"/>
    <col min="26" max="26" width="0" hidden="1" customWidth="1"/>
    <col min="27" max="27" width="7.1796875" customWidth="1"/>
    <col min="28" max="28" width="6.6328125" customWidth="1"/>
    <col min="29" max="29" width="9.6328125" customWidth="1"/>
  </cols>
  <sheetData>
    <row r="1" spans="1:35" x14ac:dyDescent="0.35">
      <c r="A1" s="4" t="s">
        <v>307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204</v>
      </c>
      <c r="I1" s="4" t="s">
        <v>154</v>
      </c>
      <c r="J1" s="4" t="s">
        <v>180</v>
      </c>
      <c r="K1" s="4" t="s">
        <v>181</v>
      </c>
      <c r="L1" s="4" t="s">
        <v>184</v>
      </c>
      <c r="M1" s="4" t="s">
        <v>182</v>
      </c>
      <c r="N1" s="4" t="s">
        <v>183</v>
      </c>
      <c r="O1" s="4" t="s">
        <v>198</v>
      </c>
      <c r="P1" s="4" t="s">
        <v>201</v>
      </c>
      <c r="Q1" s="4" t="s">
        <v>221</v>
      </c>
      <c r="R1" s="4" t="s">
        <v>222</v>
      </c>
      <c r="S1" s="4" t="s">
        <v>223</v>
      </c>
      <c r="T1" s="4" t="s">
        <v>200</v>
      </c>
      <c r="U1" s="4" t="s">
        <v>224</v>
      </c>
      <c r="V1" s="4" t="s">
        <v>237</v>
      </c>
      <c r="W1" s="4" t="s">
        <v>238</v>
      </c>
      <c r="X1" s="4" t="s">
        <v>185</v>
      </c>
      <c r="Y1" s="4" t="s">
        <v>168</v>
      </c>
      <c r="Z1" s="4" t="s">
        <v>197</v>
      </c>
      <c r="AA1" s="4" t="s">
        <v>203</v>
      </c>
      <c r="AB1" s="41" t="s">
        <v>241</v>
      </c>
      <c r="AC1" s="41"/>
      <c r="AD1" s="4" t="s">
        <v>282</v>
      </c>
      <c r="AE1" s="4" t="s">
        <v>283</v>
      </c>
      <c r="AF1" s="4" t="s">
        <v>284</v>
      </c>
      <c r="AG1" s="4" t="s">
        <v>285</v>
      </c>
      <c r="AH1" s="4" t="s">
        <v>286</v>
      </c>
      <c r="AI1" s="4" t="s">
        <v>287</v>
      </c>
    </row>
    <row r="2" spans="1:35" x14ac:dyDescent="0.35">
      <c r="A2" t="s">
        <v>173</v>
      </c>
      <c r="B2" s="39" t="s">
        <v>27</v>
      </c>
      <c r="C2" s="39" t="s">
        <v>226</v>
      </c>
      <c r="D2" s="7">
        <v>67.8</v>
      </c>
      <c r="E2" s="12">
        <v>154</v>
      </c>
      <c r="F2" s="7">
        <v>67.5</v>
      </c>
      <c r="G2" s="12">
        <v>153</v>
      </c>
      <c r="H2" s="12">
        <v>235</v>
      </c>
      <c r="I2" s="7">
        <v>3400000</v>
      </c>
      <c r="J2">
        <v>45.8</v>
      </c>
      <c r="K2">
        <v>37.700000000000003</v>
      </c>
      <c r="L2" s="38">
        <f t="shared" ref="L2:L13" si="0">$J2-$K2</f>
        <v>8.0999999999999943</v>
      </c>
      <c r="M2">
        <v>95.7</v>
      </c>
      <c r="N2">
        <v>71.599999999999994</v>
      </c>
      <c r="O2">
        <v>120.7</v>
      </c>
      <c r="P2">
        <v>2.4</v>
      </c>
      <c r="Q2">
        <v>0.5</v>
      </c>
      <c r="R2" s="39">
        <f t="shared" ref="R2:R13" si="1">1-($Q2/$P2)</f>
        <v>0.79166666666666663</v>
      </c>
      <c r="S2" s="39">
        <f t="shared" ref="S2:S13" si="2">$P2-$Q2</f>
        <v>1.9</v>
      </c>
      <c r="T2" s="12">
        <v>0.96</v>
      </c>
      <c r="U2" s="12">
        <v>29.9</v>
      </c>
      <c r="V2" s="7">
        <v>16.5</v>
      </c>
      <c r="W2" s="12">
        <v>18.2</v>
      </c>
      <c r="X2" s="5" t="s">
        <v>229</v>
      </c>
      <c r="Y2" s="1" t="s">
        <v>170</v>
      </c>
      <c r="Z2">
        <v>210</v>
      </c>
      <c r="AA2" s="12">
        <f t="shared" ref="AA2:AA13" si="3">$O2-$M2</f>
        <v>25</v>
      </c>
      <c r="AB2" s="39" t="s">
        <v>332</v>
      </c>
      <c r="AC2" s="39" t="s">
        <v>340</v>
      </c>
      <c r="AD2">
        <v>45</v>
      </c>
      <c r="AE2">
        <v>37</v>
      </c>
      <c r="AF2">
        <f t="shared" ref="AF2:AF4" si="4">$J2</f>
        <v>45.8</v>
      </c>
      <c r="AG2">
        <f t="shared" ref="AG2:AG4" si="5">$K2</f>
        <v>37.700000000000003</v>
      </c>
      <c r="AH2" s="40">
        <f t="shared" ref="AH2:AH4" si="6">$AD2-$AE2</f>
        <v>8</v>
      </c>
      <c r="AI2">
        <f t="shared" ref="AI2:AI4" si="7">$L2</f>
        <v>8.0999999999999943</v>
      </c>
    </row>
    <row r="3" spans="1:35" x14ac:dyDescent="0.35">
      <c r="A3" t="s">
        <v>173</v>
      </c>
      <c r="B3" s="7" t="s">
        <v>38</v>
      </c>
      <c r="C3" s="7" t="s">
        <v>254</v>
      </c>
      <c r="D3" s="7">
        <v>60.3</v>
      </c>
      <c r="E3" s="12">
        <v>170</v>
      </c>
      <c r="F3" s="7">
        <v>59.8</v>
      </c>
      <c r="G3" s="12">
        <v>137</v>
      </c>
      <c r="H3" s="7">
        <v>264</v>
      </c>
      <c r="I3" s="12">
        <v>3100000</v>
      </c>
      <c r="J3">
        <v>46</v>
      </c>
      <c r="K3">
        <v>37.5</v>
      </c>
      <c r="L3" s="38">
        <f t="shared" si="0"/>
        <v>8.5</v>
      </c>
      <c r="M3">
        <v>96.5</v>
      </c>
      <c r="N3">
        <v>72.900000000000006</v>
      </c>
      <c r="O3">
        <v>116.4</v>
      </c>
      <c r="P3">
        <v>3.5</v>
      </c>
      <c r="Q3">
        <v>0.6</v>
      </c>
      <c r="R3" s="39">
        <f t="shared" si="1"/>
        <v>0.82857142857142851</v>
      </c>
      <c r="S3" s="39">
        <f t="shared" si="2"/>
        <v>2.9</v>
      </c>
      <c r="T3" s="7">
        <v>0.45</v>
      </c>
      <c r="U3" s="12">
        <v>28.2</v>
      </c>
      <c r="V3" s="7">
        <v>13.5</v>
      </c>
      <c r="W3" s="7">
        <v>17.7</v>
      </c>
      <c r="X3" s="5" t="s">
        <v>256</v>
      </c>
      <c r="Y3" s="1" t="s">
        <v>257</v>
      </c>
      <c r="AA3" s="7">
        <f t="shared" si="3"/>
        <v>19.900000000000006</v>
      </c>
      <c r="AB3" s="7" t="s">
        <v>334</v>
      </c>
      <c r="AC3" s="7" t="s">
        <v>341</v>
      </c>
      <c r="AD3">
        <v>44.5</v>
      </c>
      <c r="AE3">
        <v>36.5</v>
      </c>
      <c r="AF3">
        <f t="shared" si="4"/>
        <v>46</v>
      </c>
      <c r="AG3">
        <f t="shared" si="5"/>
        <v>37.5</v>
      </c>
      <c r="AH3" s="40">
        <f t="shared" si="6"/>
        <v>8</v>
      </c>
      <c r="AI3">
        <f t="shared" si="7"/>
        <v>8.5</v>
      </c>
    </row>
    <row r="4" spans="1:35" x14ac:dyDescent="0.35">
      <c r="A4" t="s">
        <v>173</v>
      </c>
      <c r="B4" s="12" t="s">
        <v>27</v>
      </c>
      <c r="C4" s="12" t="s">
        <v>166</v>
      </c>
      <c r="D4" s="39">
        <v>73</v>
      </c>
      <c r="E4" s="39">
        <v>160</v>
      </c>
      <c r="F4" s="39">
        <v>73.8</v>
      </c>
      <c r="G4" s="39">
        <v>144</v>
      </c>
      <c r="H4" s="39">
        <v>218</v>
      </c>
      <c r="I4" s="7">
        <v>3800000</v>
      </c>
      <c r="J4">
        <v>45.1</v>
      </c>
      <c r="K4">
        <v>37</v>
      </c>
      <c r="L4" s="38">
        <f t="shared" si="0"/>
        <v>8.1000000000000014</v>
      </c>
      <c r="M4">
        <v>93.7</v>
      </c>
      <c r="N4">
        <v>74.3</v>
      </c>
      <c r="O4" s="25">
        <v>117.9</v>
      </c>
      <c r="P4" s="25">
        <v>3</v>
      </c>
      <c r="Q4" s="25">
        <v>0.9</v>
      </c>
      <c r="R4" s="39">
        <f t="shared" si="1"/>
        <v>0.7</v>
      </c>
      <c r="S4" s="39">
        <f t="shared" si="2"/>
        <v>2.1</v>
      </c>
      <c r="T4" s="39">
        <v>0.8</v>
      </c>
      <c r="U4" s="39">
        <v>30.8</v>
      </c>
      <c r="V4" s="32">
        <v>18.8</v>
      </c>
      <c r="W4" s="39">
        <v>20.7</v>
      </c>
      <c r="X4" s="5" t="s">
        <v>188</v>
      </c>
      <c r="Y4" s="1" t="s">
        <v>169</v>
      </c>
      <c r="Z4">
        <v>202</v>
      </c>
      <c r="AA4" s="12">
        <f t="shared" si="3"/>
        <v>24.200000000000003</v>
      </c>
      <c r="AB4" s="12" t="s">
        <v>335</v>
      </c>
      <c r="AC4" s="12" t="s">
        <v>342</v>
      </c>
      <c r="AD4">
        <v>45</v>
      </c>
      <c r="AE4">
        <v>37</v>
      </c>
      <c r="AF4">
        <f t="shared" si="4"/>
        <v>45.1</v>
      </c>
      <c r="AG4">
        <f t="shared" si="5"/>
        <v>37</v>
      </c>
      <c r="AH4" s="40">
        <f t="shared" si="6"/>
        <v>8</v>
      </c>
      <c r="AI4">
        <f t="shared" si="7"/>
        <v>8.1000000000000014</v>
      </c>
    </row>
    <row r="5" spans="1:35" x14ac:dyDescent="0.35">
      <c r="A5" t="s">
        <v>173</v>
      </c>
      <c r="B5" s="7" t="s">
        <v>7</v>
      </c>
      <c r="C5" s="7" t="s">
        <v>179</v>
      </c>
      <c r="D5" s="12">
        <v>74.3</v>
      </c>
      <c r="E5" s="7">
        <v>147</v>
      </c>
      <c r="F5" s="12">
        <v>73.5</v>
      </c>
      <c r="G5" s="7">
        <v>126</v>
      </c>
      <c r="H5" s="12">
        <v>223</v>
      </c>
      <c r="I5" s="12">
        <v>2500000</v>
      </c>
      <c r="J5" s="38">
        <v>36.1</v>
      </c>
      <c r="K5" s="38">
        <v>28.1</v>
      </c>
      <c r="L5" s="38">
        <f t="shared" ref="L5" si="8">$J5-$K5</f>
        <v>8</v>
      </c>
      <c r="M5" s="38">
        <v>97.5</v>
      </c>
      <c r="N5" s="38">
        <v>71.599999999999994</v>
      </c>
      <c r="O5" s="38">
        <v>116.3</v>
      </c>
      <c r="P5" s="38">
        <v>1.6</v>
      </c>
      <c r="Q5" s="38">
        <v>0.6</v>
      </c>
      <c r="R5" s="32">
        <f t="shared" ref="R5" si="9">1-($Q5/$P5)</f>
        <v>0.625</v>
      </c>
      <c r="S5" s="32">
        <f t="shared" ref="S5" si="10">$P5-$Q5</f>
        <v>1</v>
      </c>
      <c r="T5" s="7">
        <v>0.4</v>
      </c>
      <c r="U5" s="7">
        <v>43.5</v>
      </c>
      <c r="V5" s="7">
        <v>9.8000000000000007</v>
      </c>
      <c r="W5" s="12" t="s">
        <v>331</v>
      </c>
      <c r="X5" s="5" t="s">
        <v>206</v>
      </c>
      <c r="Y5" s="1" t="s">
        <v>194</v>
      </c>
      <c r="AA5" s="7">
        <f t="shared" ref="AA5" si="11">$O5-$M5</f>
        <v>18.799999999999997</v>
      </c>
      <c r="AB5" s="32" t="s">
        <v>336</v>
      </c>
      <c r="AC5" s="32" t="s">
        <v>343</v>
      </c>
      <c r="AD5">
        <v>38.5</v>
      </c>
      <c r="AE5">
        <v>32</v>
      </c>
      <c r="AF5">
        <f t="shared" ref="AF5:AF13" si="12">$J5</f>
        <v>36.1</v>
      </c>
      <c r="AG5">
        <f t="shared" ref="AG5:AG13" si="13">$K5</f>
        <v>28.1</v>
      </c>
      <c r="AH5" s="7">
        <f t="shared" ref="AH5:AH13" si="14">$AD5-$AE5</f>
        <v>6.5</v>
      </c>
      <c r="AI5">
        <f t="shared" ref="AI5:AI13" si="15">$L5</f>
        <v>8</v>
      </c>
    </row>
    <row r="6" spans="1:35" x14ac:dyDescent="0.35">
      <c r="A6" t="s">
        <v>173</v>
      </c>
      <c r="B6" s="12" t="s">
        <v>12</v>
      </c>
      <c r="C6" s="12" t="s">
        <v>319</v>
      </c>
      <c r="D6" s="7">
        <v>58.1</v>
      </c>
      <c r="E6" s="7">
        <v>130</v>
      </c>
      <c r="F6" s="7">
        <v>70</v>
      </c>
      <c r="G6" s="7">
        <v>102</v>
      </c>
      <c r="H6" s="12">
        <v>247</v>
      </c>
      <c r="I6" s="12">
        <v>2700000</v>
      </c>
      <c r="J6" s="38">
        <v>33.6</v>
      </c>
      <c r="K6" s="38">
        <v>26.6</v>
      </c>
      <c r="L6" s="38">
        <f t="shared" si="0"/>
        <v>7</v>
      </c>
      <c r="M6" s="38">
        <v>93.8</v>
      </c>
      <c r="N6" s="38">
        <v>70.599999999999994</v>
      </c>
      <c r="O6" s="38">
        <v>112.9</v>
      </c>
      <c r="P6" s="38">
        <v>3.3</v>
      </c>
      <c r="Q6" s="38">
        <v>0.6</v>
      </c>
      <c r="R6" s="39">
        <f t="shared" si="1"/>
        <v>0.81818181818181812</v>
      </c>
      <c r="S6" s="39">
        <f t="shared" si="2"/>
        <v>2.6999999999999997</v>
      </c>
      <c r="T6" s="12">
        <v>0.81</v>
      </c>
      <c r="U6" s="12">
        <f>AVERAGE(33.2,19.9)</f>
        <v>26.55</v>
      </c>
      <c r="V6" s="12">
        <v>22.7</v>
      </c>
      <c r="W6" s="7">
        <v>14.5</v>
      </c>
      <c r="X6" s="5" t="s">
        <v>323</v>
      </c>
      <c r="Y6" s="1" t="s">
        <v>170</v>
      </c>
      <c r="AA6" s="7">
        <f t="shared" si="3"/>
        <v>19.100000000000009</v>
      </c>
      <c r="AB6" s="12" t="s">
        <v>337</v>
      </c>
      <c r="AC6" s="12" t="s">
        <v>344</v>
      </c>
      <c r="AD6">
        <v>38</v>
      </c>
      <c r="AE6">
        <v>30</v>
      </c>
      <c r="AF6">
        <f t="shared" si="12"/>
        <v>33.6</v>
      </c>
      <c r="AG6">
        <f t="shared" si="13"/>
        <v>26.6</v>
      </c>
      <c r="AH6" s="1">
        <f t="shared" si="14"/>
        <v>8</v>
      </c>
      <c r="AI6">
        <f t="shared" si="15"/>
        <v>7</v>
      </c>
    </row>
    <row r="7" spans="1:35" x14ac:dyDescent="0.35">
      <c r="A7" t="s">
        <v>173</v>
      </c>
      <c r="B7" s="12" t="s">
        <v>7</v>
      </c>
      <c r="C7" s="12" t="s">
        <v>320</v>
      </c>
      <c r="D7" s="12">
        <v>73.7</v>
      </c>
      <c r="E7" s="12">
        <v>160</v>
      </c>
      <c r="F7" s="12">
        <v>76.7</v>
      </c>
      <c r="G7" s="7">
        <v>125</v>
      </c>
      <c r="H7" s="7">
        <v>291</v>
      </c>
      <c r="I7" s="7">
        <v>4300000</v>
      </c>
      <c r="J7" s="38">
        <v>48.1</v>
      </c>
      <c r="K7" s="38">
        <v>35.1</v>
      </c>
      <c r="L7" s="38">
        <f t="shared" si="0"/>
        <v>13</v>
      </c>
      <c r="M7" s="38">
        <v>97.8</v>
      </c>
      <c r="N7" s="38">
        <v>73.2</v>
      </c>
      <c r="O7" s="38">
        <v>124.3</v>
      </c>
      <c r="P7" s="38">
        <v>1.8</v>
      </c>
      <c r="Q7" s="38">
        <v>1.9</v>
      </c>
      <c r="R7" s="32">
        <f t="shared" si="1"/>
        <v>-5.555555555555558E-2</v>
      </c>
      <c r="S7" s="32">
        <f t="shared" si="2"/>
        <v>-9.9999999999999867E-2</v>
      </c>
      <c r="T7" s="7">
        <v>0.56000000000000005</v>
      </c>
      <c r="U7" s="12">
        <f>AVERAGE(36.1,28.2)</f>
        <v>32.15</v>
      </c>
      <c r="V7" s="12">
        <v>38.5</v>
      </c>
      <c r="W7" s="12">
        <v>22.5</v>
      </c>
      <c r="X7" s="5" t="s">
        <v>324</v>
      </c>
      <c r="Y7" s="1" t="s">
        <v>236</v>
      </c>
      <c r="AA7" s="12">
        <f t="shared" si="3"/>
        <v>26.5</v>
      </c>
      <c r="AB7" s="12" t="s">
        <v>337</v>
      </c>
      <c r="AC7" s="12" t="s">
        <v>344</v>
      </c>
      <c r="AD7">
        <v>50</v>
      </c>
      <c r="AE7">
        <v>43</v>
      </c>
      <c r="AF7">
        <f t="shared" si="12"/>
        <v>48.1</v>
      </c>
      <c r="AG7">
        <f t="shared" si="13"/>
        <v>35.1</v>
      </c>
      <c r="AH7" s="7">
        <f t="shared" si="14"/>
        <v>7</v>
      </c>
      <c r="AI7">
        <f t="shared" si="15"/>
        <v>13</v>
      </c>
    </row>
    <row r="8" spans="1:35" x14ac:dyDescent="0.35">
      <c r="A8" t="s">
        <v>173</v>
      </c>
      <c r="B8" s="7" t="s">
        <v>22</v>
      </c>
      <c r="C8" s="7" t="s">
        <v>321</v>
      </c>
      <c r="D8" s="12">
        <v>73.2</v>
      </c>
      <c r="E8" s="7">
        <v>132</v>
      </c>
      <c r="F8" s="12">
        <v>78.2</v>
      </c>
      <c r="G8" s="7">
        <v>108</v>
      </c>
      <c r="H8" s="12">
        <v>241</v>
      </c>
      <c r="I8" s="12">
        <v>2900000</v>
      </c>
      <c r="J8" s="38">
        <v>37.4</v>
      </c>
      <c r="K8" s="38">
        <v>26.8</v>
      </c>
      <c r="L8" s="38">
        <f t="shared" si="0"/>
        <v>10.599999999999998</v>
      </c>
      <c r="M8" s="38">
        <v>93.8</v>
      </c>
      <c r="N8" s="38">
        <v>72.900000000000006</v>
      </c>
      <c r="O8" s="38">
        <v>118.1</v>
      </c>
      <c r="P8" s="38">
        <v>2.5</v>
      </c>
      <c r="Q8" s="38">
        <v>1</v>
      </c>
      <c r="R8" s="32">
        <f t="shared" si="1"/>
        <v>0.6</v>
      </c>
      <c r="S8" s="32">
        <f t="shared" si="2"/>
        <v>1.5</v>
      </c>
      <c r="T8" s="7">
        <v>0.52</v>
      </c>
      <c r="U8" s="7">
        <f>AVERAGE(44.5,40)</f>
        <v>42.25</v>
      </c>
      <c r="V8" s="7">
        <v>12.9</v>
      </c>
      <c r="W8" s="7">
        <v>13.5</v>
      </c>
      <c r="X8" s="5" t="s">
        <v>325</v>
      </c>
      <c r="Y8" s="1" t="s">
        <v>193</v>
      </c>
      <c r="AA8" s="12">
        <f t="shared" si="3"/>
        <v>24.299999999999997</v>
      </c>
      <c r="AB8" s="7" t="s">
        <v>336</v>
      </c>
      <c r="AC8" s="7" t="s">
        <v>343</v>
      </c>
      <c r="AD8">
        <v>36</v>
      </c>
      <c r="AE8">
        <v>28</v>
      </c>
      <c r="AF8">
        <f t="shared" si="12"/>
        <v>37.4</v>
      </c>
      <c r="AG8">
        <f t="shared" si="13"/>
        <v>26.8</v>
      </c>
      <c r="AH8" s="7">
        <f t="shared" si="14"/>
        <v>8</v>
      </c>
      <c r="AI8">
        <f t="shared" si="15"/>
        <v>10.599999999999998</v>
      </c>
    </row>
    <row r="9" spans="1:35" x14ac:dyDescent="0.35">
      <c r="A9" t="s">
        <v>173</v>
      </c>
      <c r="B9" s="7" t="s">
        <v>0</v>
      </c>
      <c r="C9" s="7" t="s">
        <v>322</v>
      </c>
      <c r="D9" s="7">
        <v>61</v>
      </c>
      <c r="E9" s="7">
        <v>144</v>
      </c>
      <c r="F9" s="7">
        <v>67</v>
      </c>
      <c r="G9" s="7">
        <v>111</v>
      </c>
      <c r="H9" s="12">
        <v>248</v>
      </c>
      <c r="I9" s="12">
        <v>2700000</v>
      </c>
      <c r="J9" s="38">
        <v>39.700000000000003</v>
      </c>
      <c r="K9" s="38">
        <v>30.1</v>
      </c>
      <c r="L9" s="38">
        <f t="shared" si="0"/>
        <v>9.6000000000000014</v>
      </c>
      <c r="M9" s="38">
        <v>90.9</v>
      </c>
      <c r="N9" s="38">
        <v>72.599999999999994</v>
      </c>
      <c r="O9" s="38">
        <v>111.9</v>
      </c>
      <c r="P9" s="38">
        <v>3.2</v>
      </c>
      <c r="Q9" s="38">
        <v>0.8</v>
      </c>
      <c r="R9" s="39">
        <f t="shared" si="1"/>
        <v>0.75</v>
      </c>
      <c r="S9" s="39">
        <f t="shared" si="2"/>
        <v>2.4000000000000004</v>
      </c>
      <c r="T9" s="7">
        <v>0.42</v>
      </c>
      <c r="U9" s="7">
        <f>AVERAGE(36.5,33.6)</f>
        <v>35.049999999999997</v>
      </c>
      <c r="V9" s="12">
        <v>21.5</v>
      </c>
      <c r="W9" s="12" t="s">
        <v>330</v>
      </c>
      <c r="X9" s="5" t="s">
        <v>326</v>
      </c>
      <c r="Y9" s="1" t="s">
        <v>193</v>
      </c>
      <c r="AA9" s="7">
        <f t="shared" si="3"/>
        <v>21</v>
      </c>
      <c r="AB9" s="7" t="s">
        <v>334</v>
      </c>
      <c r="AC9" s="7" t="s">
        <v>341</v>
      </c>
      <c r="AD9">
        <v>40</v>
      </c>
      <c r="AE9">
        <v>32</v>
      </c>
      <c r="AF9">
        <f t="shared" si="12"/>
        <v>39.700000000000003</v>
      </c>
      <c r="AG9">
        <f t="shared" si="13"/>
        <v>30.1</v>
      </c>
      <c r="AH9" s="7">
        <f t="shared" si="14"/>
        <v>8</v>
      </c>
      <c r="AI9">
        <f t="shared" si="15"/>
        <v>9.6000000000000014</v>
      </c>
    </row>
    <row r="10" spans="1:35" x14ac:dyDescent="0.35">
      <c r="A10" t="s">
        <v>173</v>
      </c>
      <c r="B10" s="7" t="s">
        <v>258</v>
      </c>
      <c r="C10" s="7" t="s">
        <v>259</v>
      </c>
      <c r="D10" s="7">
        <v>66.099999999999994</v>
      </c>
      <c r="E10" s="7">
        <v>139</v>
      </c>
      <c r="F10" s="7">
        <v>69.400000000000006</v>
      </c>
      <c r="G10" s="7">
        <v>122</v>
      </c>
      <c r="H10" s="7">
        <v>264</v>
      </c>
      <c r="I10" s="7">
        <v>4700000</v>
      </c>
      <c r="J10">
        <v>43.4</v>
      </c>
      <c r="K10">
        <v>34.200000000000003</v>
      </c>
      <c r="L10">
        <f t="shared" si="0"/>
        <v>9.1999999999999957</v>
      </c>
      <c r="M10">
        <v>95</v>
      </c>
      <c r="N10">
        <v>72.8</v>
      </c>
      <c r="O10">
        <v>118.6</v>
      </c>
      <c r="P10">
        <v>3.2</v>
      </c>
      <c r="Q10">
        <v>0.5</v>
      </c>
      <c r="R10" s="39">
        <f t="shared" si="1"/>
        <v>0.84375</v>
      </c>
      <c r="S10" s="39">
        <f t="shared" si="2"/>
        <v>2.7</v>
      </c>
      <c r="T10" s="7">
        <v>0.5</v>
      </c>
      <c r="U10" s="7">
        <f>AVERAGE(37.2,51.2)</f>
        <v>44.2</v>
      </c>
      <c r="V10" s="12">
        <v>21.2</v>
      </c>
      <c r="W10" s="7">
        <v>17</v>
      </c>
      <c r="X10" s="5" t="s">
        <v>260</v>
      </c>
      <c r="Y10" s="1" t="s">
        <v>193</v>
      </c>
      <c r="AA10" s="12">
        <f t="shared" si="3"/>
        <v>23.599999999999994</v>
      </c>
      <c r="AB10" s="7" t="s">
        <v>339</v>
      </c>
      <c r="AC10" s="7" t="s">
        <v>345</v>
      </c>
      <c r="AD10">
        <v>37</v>
      </c>
      <c r="AE10">
        <v>31</v>
      </c>
      <c r="AF10">
        <f t="shared" si="12"/>
        <v>43.4</v>
      </c>
      <c r="AG10">
        <f t="shared" si="13"/>
        <v>34.200000000000003</v>
      </c>
      <c r="AH10" s="7">
        <f t="shared" si="14"/>
        <v>6</v>
      </c>
      <c r="AI10">
        <f t="shared" si="15"/>
        <v>9.1999999999999957</v>
      </c>
    </row>
    <row r="11" spans="1:35" x14ac:dyDescent="0.35">
      <c r="A11" t="s">
        <v>173</v>
      </c>
      <c r="B11" s="12" t="s">
        <v>7</v>
      </c>
      <c r="C11" s="12" t="s">
        <v>167</v>
      </c>
      <c r="D11" s="12">
        <v>73.599999999999994</v>
      </c>
      <c r="E11" s="12">
        <v>154</v>
      </c>
      <c r="F11" s="12">
        <v>72.8</v>
      </c>
      <c r="G11" s="12">
        <v>145</v>
      </c>
      <c r="H11" s="12">
        <v>247</v>
      </c>
      <c r="I11" s="7">
        <v>3500000</v>
      </c>
      <c r="J11" s="38">
        <v>44.6</v>
      </c>
      <c r="K11" s="38">
        <v>38.1</v>
      </c>
      <c r="L11" s="38">
        <f t="shared" si="0"/>
        <v>6.5</v>
      </c>
      <c r="M11" s="38">
        <v>97.4</v>
      </c>
      <c r="N11" s="38">
        <v>71.400000000000006</v>
      </c>
      <c r="O11" s="38">
        <v>117.7</v>
      </c>
      <c r="P11" s="38">
        <v>2</v>
      </c>
      <c r="Q11" s="38">
        <v>0.6</v>
      </c>
      <c r="R11" s="39">
        <f t="shared" si="1"/>
        <v>0.7</v>
      </c>
      <c r="S11" s="32">
        <f t="shared" si="2"/>
        <v>1.4</v>
      </c>
      <c r="T11" s="12">
        <v>0.89</v>
      </c>
      <c r="U11" s="12">
        <v>32.5</v>
      </c>
      <c r="V11" s="12">
        <v>19.8</v>
      </c>
      <c r="W11" s="7">
        <v>14.5</v>
      </c>
      <c r="X11" s="5" t="s">
        <v>187</v>
      </c>
      <c r="Y11" s="1" t="s">
        <v>193</v>
      </c>
      <c r="Z11">
        <v>221</v>
      </c>
      <c r="AA11" s="7">
        <f t="shared" si="3"/>
        <v>20.299999999999997</v>
      </c>
      <c r="AB11" s="12" t="s">
        <v>332</v>
      </c>
      <c r="AC11" s="12" t="s">
        <v>340</v>
      </c>
      <c r="AD11">
        <v>45</v>
      </c>
      <c r="AE11">
        <v>39</v>
      </c>
      <c r="AF11">
        <f t="shared" si="12"/>
        <v>44.6</v>
      </c>
      <c r="AG11">
        <f t="shared" si="13"/>
        <v>38.1</v>
      </c>
      <c r="AH11" s="30">
        <f t="shared" si="14"/>
        <v>6</v>
      </c>
      <c r="AI11">
        <f t="shared" si="15"/>
        <v>6.5</v>
      </c>
    </row>
    <row r="12" spans="1:35" x14ac:dyDescent="0.35">
      <c r="A12" t="s">
        <v>173</v>
      </c>
      <c r="B12" s="7" t="s">
        <v>22</v>
      </c>
      <c r="C12" s="7" t="s">
        <v>176</v>
      </c>
      <c r="D12" s="12">
        <v>70.599999999999994</v>
      </c>
      <c r="E12" s="7">
        <v>137</v>
      </c>
      <c r="F12" s="12">
        <v>74.7</v>
      </c>
      <c r="G12" s="7">
        <v>122</v>
      </c>
      <c r="H12" s="12">
        <v>241</v>
      </c>
      <c r="I12" s="12">
        <v>2400000</v>
      </c>
      <c r="J12" s="38">
        <v>40.700000000000003</v>
      </c>
      <c r="K12" s="38">
        <v>32.700000000000003</v>
      </c>
      <c r="L12" s="38">
        <f t="shared" si="0"/>
        <v>8</v>
      </c>
      <c r="M12" s="38">
        <v>94</v>
      </c>
      <c r="N12" s="38">
        <v>72.2</v>
      </c>
      <c r="O12" s="38">
        <v>123.4</v>
      </c>
      <c r="P12" s="38">
        <v>2.2999999999999998</v>
      </c>
      <c r="Q12" s="38">
        <v>0.5</v>
      </c>
      <c r="R12" s="39">
        <f t="shared" si="1"/>
        <v>0.78260869565217384</v>
      </c>
      <c r="S12" s="32">
        <f t="shared" si="2"/>
        <v>1.7999999999999998</v>
      </c>
      <c r="T12" s="7">
        <v>0.51</v>
      </c>
      <c r="U12" s="7">
        <v>40.200000000000003</v>
      </c>
      <c r="V12" s="7">
        <v>16.600000000000001</v>
      </c>
      <c r="W12" s="7">
        <v>14.5</v>
      </c>
      <c r="X12" s="5" t="s">
        <v>199</v>
      </c>
      <c r="Y12" s="1" t="s">
        <v>193</v>
      </c>
      <c r="Z12">
        <v>212</v>
      </c>
      <c r="AA12" s="12">
        <f t="shared" si="3"/>
        <v>29.400000000000006</v>
      </c>
      <c r="AB12" s="32" t="s">
        <v>334</v>
      </c>
      <c r="AC12" s="32" t="s">
        <v>341</v>
      </c>
      <c r="AD12">
        <v>40</v>
      </c>
      <c r="AE12">
        <v>32</v>
      </c>
      <c r="AF12">
        <f t="shared" si="12"/>
        <v>40.700000000000003</v>
      </c>
      <c r="AG12">
        <f t="shared" si="13"/>
        <v>32.700000000000003</v>
      </c>
      <c r="AH12" s="30">
        <f t="shared" si="14"/>
        <v>8</v>
      </c>
      <c r="AI12">
        <f t="shared" si="15"/>
        <v>8</v>
      </c>
    </row>
    <row r="13" spans="1:35" x14ac:dyDescent="0.35">
      <c r="A13" t="s">
        <v>173</v>
      </c>
      <c r="B13" s="12" t="s">
        <v>55</v>
      </c>
      <c r="C13" s="12" t="s">
        <v>272</v>
      </c>
      <c r="D13" s="7">
        <v>63.9</v>
      </c>
      <c r="E13" s="12">
        <v>151</v>
      </c>
      <c r="F13" s="7">
        <v>66.2</v>
      </c>
      <c r="G13" s="12">
        <v>133</v>
      </c>
      <c r="H13" s="7">
        <v>283</v>
      </c>
      <c r="I13" s="12">
        <v>2800000</v>
      </c>
      <c r="J13" s="38">
        <v>45.6</v>
      </c>
      <c r="K13" s="38">
        <v>35</v>
      </c>
      <c r="L13" s="38">
        <f t="shared" si="0"/>
        <v>10.600000000000001</v>
      </c>
      <c r="M13" s="38">
        <v>94.9</v>
      </c>
      <c r="N13" s="38">
        <v>72.599999999999994</v>
      </c>
      <c r="O13" s="38">
        <v>115.4</v>
      </c>
      <c r="P13" s="38">
        <v>2.8</v>
      </c>
      <c r="Q13" s="38">
        <v>0.9</v>
      </c>
      <c r="R13" s="39">
        <f t="shared" si="1"/>
        <v>0.6785714285714286</v>
      </c>
      <c r="S13" s="39">
        <f t="shared" si="2"/>
        <v>1.9</v>
      </c>
      <c r="T13" s="7">
        <v>0.51</v>
      </c>
      <c r="U13" s="12">
        <f>AVERAGE(25.7,40.1)</f>
        <v>32.9</v>
      </c>
      <c r="V13" s="7">
        <v>17</v>
      </c>
      <c r="W13" s="12">
        <v>21.4</v>
      </c>
      <c r="X13" s="5" t="s">
        <v>306</v>
      </c>
      <c r="Y13" s="1" t="s">
        <v>193</v>
      </c>
      <c r="AA13" s="7">
        <f t="shared" si="3"/>
        <v>20.5</v>
      </c>
      <c r="AB13" s="12" t="s">
        <v>337</v>
      </c>
      <c r="AC13" s="12" t="s">
        <v>344</v>
      </c>
      <c r="AD13">
        <v>46</v>
      </c>
      <c r="AE13">
        <v>40</v>
      </c>
      <c r="AF13">
        <f t="shared" si="12"/>
        <v>45.6</v>
      </c>
      <c r="AG13">
        <f t="shared" si="13"/>
        <v>35</v>
      </c>
      <c r="AH13" s="7">
        <f t="shared" si="14"/>
        <v>6</v>
      </c>
      <c r="AI13">
        <f t="shared" si="15"/>
        <v>10.600000000000001</v>
      </c>
    </row>
    <row r="14" spans="1:35" x14ac:dyDescent="0.35">
      <c r="C14" s="45" t="s">
        <v>327</v>
      </c>
      <c r="D14" s="1">
        <f>MAX(D2:D13)</f>
        <v>74.3</v>
      </c>
      <c r="E14" s="1">
        <f t="shared" ref="E14:I14" si="16">MAX(E2:E13)</f>
        <v>170</v>
      </c>
      <c r="F14" s="1">
        <f t="shared" si="16"/>
        <v>78.2</v>
      </c>
      <c r="G14" s="1">
        <f t="shared" si="16"/>
        <v>153</v>
      </c>
      <c r="H14" s="1">
        <f t="shared" si="16"/>
        <v>291</v>
      </c>
      <c r="I14" s="1">
        <f t="shared" si="16"/>
        <v>4700000</v>
      </c>
      <c r="Q14" s="12" t="s">
        <v>327</v>
      </c>
      <c r="R14" s="36">
        <f>MAX(R2:R13)</f>
        <v>0.84375</v>
      </c>
      <c r="S14" s="36">
        <f t="shared" ref="S14:W14" si="17">MAX(S2:S13)</f>
        <v>2.9</v>
      </c>
      <c r="T14" s="36">
        <f t="shared" si="17"/>
        <v>0.96</v>
      </c>
      <c r="U14" s="36">
        <f t="shared" si="17"/>
        <v>44.2</v>
      </c>
      <c r="V14" s="36">
        <f t="shared" si="17"/>
        <v>38.5</v>
      </c>
      <c r="W14" s="36">
        <f t="shared" si="17"/>
        <v>22.5</v>
      </c>
      <c r="Y14" s="12" t="s">
        <v>327</v>
      </c>
      <c r="AA14" s="36">
        <f>MAX(AA2:AA13)</f>
        <v>29.400000000000006</v>
      </c>
    </row>
    <row r="15" spans="1:35" x14ac:dyDescent="0.35">
      <c r="C15" s="45" t="s">
        <v>328</v>
      </c>
      <c r="D15" s="1">
        <f>MIN(D2:D13)</f>
        <v>58.1</v>
      </c>
      <c r="E15" s="1">
        <f t="shared" ref="E15:I15" si="18">MIN(E2:E13)</f>
        <v>130</v>
      </c>
      <c r="F15" s="1">
        <f t="shared" si="18"/>
        <v>59.8</v>
      </c>
      <c r="G15" s="1">
        <f t="shared" si="18"/>
        <v>102</v>
      </c>
      <c r="H15" s="1">
        <f t="shared" si="18"/>
        <v>218</v>
      </c>
      <c r="I15" s="1">
        <f t="shared" si="18"/>
        <v>2400000</v>
      </c>
      <c r="Q15" s="12" t="s">
        <v>328</v>
      </c>
      <c r="R15" s="36">
        <f>MIN(R2:R13)</f>
        <v>-5.555555555555558E-2</v>
      </c>
      <c r="S15" s="36">
        <f t="shared" ref="S15:W15" si="19">MIN(S2:S13)</f>
        <v>-9.9999999999999867E-2</v>
      </c>
      <c r="T15" s="36">
        <f t="shared" si="19"/>
        <v>0.4</v>
      </c>
      <c r="U15" s="36">
        <f t="shared" si="19"/>
        <v>26.55</v>
      </c>
      <c r="V15" s="36">
        <f t="shared" si="19"/>
        <v>9.8000000000000007</v>
      </c>
      <c r="W15" s="36">
        <f t="shared" si="19"/>
        <v>13.5</v>
      </c>
      <c r="Y15" s="12" t="s">
        <v>328</v>
      </c>
      <c r="AA15" s="36">
        <f>MIN(AA2:AA13)</f>
        <v>18.799999999999997</v>
      </c>
    </row>
    <row r="16" spans="1:35" x14ac:dyDescent="0.35">
      <c r="C16" s="1" t="s">
        <v>329</v>
      </c>
      <c r="D16">
        <f>AVERAGE(D2:D13)</f>
        <v>67.966666666666669</v>
      </c>
      <c r="E16">
        <f t="shared" ref="E16:I16" si="20">AVERAGE(E2:E13)</f>
        <v>148.16666666666666</v>
      </c>
      <c r="F16">
        <f t="shared" si="20"/>
        <v>70.8</v>
      </c>
      <c r="G16">
        <f t="shared" si="20"/>
        <v>127.33333333333333</v>
      </c>
      <c r="H16">
        <f t="shared" si="20"/>
        <v>250.16666666666666</v>
      </c>
      <c r="I16">
        <f t="shared" si="20"/>
        <v>3233333.3333333335</v>
      </c>
      <c r="Q16" t="s">
        <v>329</v>
      </c>
      <c r="R16">
        <f t="shared" ref="R16:V16" si="21">AVERAGE(R2:R13)</f>
        <v>0.67189954017399678</v>
      </c>
      <c r="S16">
        <f t="shared" si="21"/>
        <v>1.8499999999999999</v>
      </c>
      <c r="T16">
        <f t="shared" si="21"/>
        <v>0.61083333333333323</v>
      </c>
      <c r="U16">
        <f t="shared" si="21"/>
        <v>34.849999999999994</v>
      </c>
      <c r="V16">
        <f t="shared" si="21"/>
        <v>19.066666666666666</v>
      </c>
      <c r="W16">
        <v>17.8</v>
      </c>
      <c r="Y16" s="1" t="s">
        <v>329</v>
      </c>
      <c r="AA16">
        <f t="shared" ref="AA16" si="22">AVERAGE(AA2:AA13)</f>
        <v>22.716666666666669</v>
      </c>
    </row>
  </sheetData>
  <mergeCells count="1">
    <mergeCell ref="AB1:AC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A9052-ABD5-45EB-BF71-83A567DBFE6B}">
  <dimension ref="A1:I18"/>
  <sheetViews>
    <sheetView workbookViewId="0">
      <selection activeCell="K15" sqref="K15"/>
    </sheetView>
  </sheetViews>
  <sheetFormatPr defaultRowHeight="14.5" x14ac:dyDescent="0.35"/>
  <cols>
    <col min="1" max="1" width="3.36328125" customWidth="1"/>
    <col min="3" max="3" width="20.54296875" customWidth="1"/>
    <col min="6" max="6" width="12.6328125" customWidth="1"/>
  </cols>
  <sheetData>
    <row r="1" spans="1:9" x14ac:dyDescent="0.35">
      <c r="A1" s="42" t="s">
        <v>363</v>
      </c>
      <c r="B1" s="42"/>
      <c r="C1" s="42"/>
      <c r="D1" t="s">
        <v>360</v>
      </c>
      <c r="E1" t="s">
        <v>361</v>
      </c>
      <c r="F1" s="44" t="s">
        <v>371</v>
      </c>
      <c r="G1" s="44" t="s">
        <v>379</v>
      </c>
      <c r="H1" s="44" t="s">
        <v>380</v>
      </c>
      <c r="I1" s="44" t="s">
        <v>381</v>
      </c>
    </row>
    <row r="2" spans="1:9" x14ac:dyDescent="0.35">
      <c r="A2">
        <v>1</v>
      </c>
      <c r="B2" s="34" t="s">
        <v>12</v>
      </c>
      <c r="C2" s="34" t="s">
        <v>162</v>
      </c>
      <c r="D2">
        <v>2100000</v>
      </c>
      <c r="E2">
        <f>11/13*100</f>
        <v>84.615384615384613</v>
      </c>
      <c r="F2" s="5" t="s">
        <v>366</v>
      </c>
      <c r="G2" t="s">
        <v>369</v>
      </c>
      <c r="H2" t="s">
        <v>369</v>
      </c>
      <c r="I2" t="s">
        <v>369</v>
      </c>
    </row>
    <row r="3" spans="1:9" x14ac:dyDescent="0.35">
      <c r="A3">
        <v>2</v>
      </c>
      <c r="B3" s="34" t="s">
        <v>7</v>
      </c>
      <c r="C3" s="34" t="s">
        <v>142</v>
      </c>
      <c r="D3">
        <v>2000000</v>
      </c>
      <c r="E3">
        <f>9/13*100</f>
        <v>69.230769230769226</v>
      </c>
      <c r="F3" s="5" t="s">
        <v>372</v>
      </c>
      <c r="G3" t="s">
        <v>373</v>
      </c>
      <c r="H3" t="s">
        <v>376</v>
      </c>
      <c r="I3" t="s">
        <v>376</v>
      </c>
    </row>
    <row r="4" spans="1:9" x14ac:dyDescent="0.35">
      <c r="A4">
        <v>3</v>
      </c>
      <c r="B4" s="34" t="s">
        <v>27</v>
      </c>
      <c r="C4" s="34" t="s">
        <v>74</v>
      </c>
      <c r="D4">
        <v>2100000</v>
      </c>
      <c r="E4">
        <f>8/13*100</f>
        <v>61.53846153846154</v>
      </c>
      <c r="F4" s="5" t="s">
        <v>367</v>
      </c>
      <c r="G4" t="s">
        <v>369</v>
      </c>
      <c r="H4" t="s">
        <v>369</v>
      </c>
      <c r="I4" t="s">
        <v>369</v>
      </c>
    </row>
    <row r="5" spans="1:9" x14ac:dyDescent="0.35">
      <c r="A5">
        <v>4</v>
      </c>
      <c r="B5" s="34" t="s">
        <v>7</v>
      </c>
      <c r="C5" s="34" t="s">
        <v>179</v>
      </c>
      <c r="D5">
        <v>2500000</v>
      </c>
      <c r="E5">
        <f>8/11*100</f>
        <v>72.727272727272734</v>
      </c>
      <c r="F5" s="5" t="s">
        <v>368</v>
      </c>
      <c r="G5" t="s">
        <v>370</v>
      </c>
      <c r="H5" t="s">
        <v>369</v>
      </c>
      <c r="I5" t="s">
        <v>370</v>
      </c>
    </row>
    <row r="6" spans="1:9" x14ac:dyDescent="0.35">
      <c r="A6">
        <v>5</v>
      </c>
      <c r="B6" s="34" t="s">
        <v>12</v>
      </c>
      <c r="C6" s="34" t="s">
        <v>165</v>
      </c>
      <c r="D6">
        <v>2300000</v>
      </c>
      <c r="E6">
        <f>7/13*100</f>
        <v>53.846153846153847</v>
      </c>
      <c r="F6" s="5" t="s">
        <v>374</v>
      </c>
      <c r="G6" t="s">
        <v>370</v>
      </c>
      <c r="H6" t="s">
        <v>369</v>
      </c>
      <c r="I6" t="s">
        <v>369</v>
      </c>
    </row>
    <row r="7" spans="1:9" x14ac:dyDescent="0.35">
      <c r="A7" s="42" t="s">
        <v>364</v>
      </c>
      <c r="B7" s="42"/>
      <c r="C7" s="42"/>
      <c r="D7" t="s">
        <v>360</v>
      </c>
      <c r="E7" t="s">
        <v>361</v>
      </c>
      <c r="F7" s="5" t="s">
        <v>375</v>
      </c>
      <c r="G7" t="s">
        <v>388</v>
      </c>
      <c r="H7" t="s">
        <v>388</v>
      </c>
      <c r="I7" t="s">
        <v>377</v>
      </c>
    </row>
    <row r="8" spans="1:9" x14ac:dyDescent="0.35">
      <c r="A8">
        <v>1</v>
      </c>
      <c r="B8" s="16" t="s">
        <v>22</v>
      </c>
      <c r="C8" s="16" t="s">
        <v>263</v>
      </c>
      <c r="D8">
        <v>2500000</v>
      </c>
      <c r="E8">
        <f>10/13*100</f>
        <v>76.923076923076934</v>
      </c>
      <c r="F8" s="5" t="s">
        <v>378</v>
      </c>
      <c r="G8" t="s">
        <v>370</v>
      </c>
      <c r="H8" t="s">
        <v>370</v>
      </c>
      <c r="I8" t="s">
        <v>370</v>
      </c>
    </row>
    <row r="9" spans="1:9" x14ac:dyDescent="0.35">
      <c r="A9">
        <v>2</v>
      </c>
      <c r="B9" s="16" t="s">
        <v>27</v>
      </c>
      <c r="C9" s="16" t="s">
        <v>226</v>
      </c>
      <c r="D9">
        <v>3400000</v>
      </c>
      <c r="E9">
        <f>9/13*100</f>
        <v>69.230769230769226</v>
      </c>
      <c r="F9" s="5" t="s">
        <v>382</v>
      </c>
      <c r="G9" t="s">
        <v>383</v>
      </c>
      <c r="H9" t="s">
        <v>383</v>
      </c>
      <c r="I9" t="s">
        <v>384</v>
      </c>
    </row>
    <row r="10" spans="1:9" x14ac:dyDescent="0.35">
      <c r="A10">
        <v>3</v>
      </c>
      <c r="B10" s="16" t="s">
        <v>51</v>
      </c>
      <c r="C10" s="16" t="s">
        <v>269</v>
      </c>
      <c r="D10">
        <v>3500000</v>
      </c>
      <c r="E10">
        <f>8/13*100</f>
        <v>61.53846153846154</v>
      </c>
      <c r="F10" s="5" t="s">
        <v>385</v>
      </c>
      <c r="G10" t="s">
        <v>387</v>
      </c>
      <c r="H10" t="s">
        <v>387</v>
      </c>
      <c r="I10" t="s">
        <v>386</v>
      </c>
    </row>
    <row r="11" spans="1:9" x14ac:dyDescent="0.35">
      <c r="A11">
        <v>4</v>
      </c>
      <c r="B11" s="16" t="s">
        <v>27</v>
      </c>
      <c r="C11" s="16" t="s">
        <v>166</v>
      </c>
      <c r="D11">
        <v>3800000</v>
      </c>
      <c r="E11">
        <f>8/13*100</f>
        <v>61.53846153846154</v>
      </c>
    </row>
    <row r="12" spans="1:9" x14ac:dyDescent="0.35">
      <c r="A12">
        <v>5</v>
      </c>
      <c r="B12" s="16" t="s">
        <v>12</v>
      </c>
      <c r="C12" s="16" t="s">
        <v>362</v>
      </c>
      <c r="D12">
        <v>2700000</v>
      </c>
      <c r="E12">
        <f>7/13*100</f>
        <v>53.846153846153847</v>
      </c>
    </row>
    <row r="13" spans="1:9" x14ac:dyDescent="0.35">
      <c r="A13" s="42" t="s">
        <v>365</v>
      </c>
      <c r="B13" s="42"/>
      <c r="C13" s="42"/>
      <c r="D13" t="s">
        <v>360</v>
      </c>
      <c r="E13" t="s">
        <v>361</v>
      </c>
    </row>
    <row r="14" spans="1:9" x14ac:dyDescent="0.35">
      <c r="A14">
        <v>1</v>
      </c>
      <c r="B14" s="43" t="s">
        <v>27</v>
      </c>
      <c r="C14" s="43" t="s">
        <v>166</v>
      </c>
      <c r="D14">
        <v>3800000</v>
      </c>
      <c r="E14">
        <f>11*100/13</f>
        <v>84.615384615384613</v>
      </c>
    </row>
    <row r="15" spans="1:9" x14ac:dyDescent="0.35">
      <c r="A15">
        <v>2</v>
      </c>
      <c r="B15" s="43" t="s">
        <v>27</v>
      </c>
      <c r="C15" s="43" t="s">
        <v>226</v>
      </c>
      <c r="D15">
        <v>3400000</v>
      </c>
      <c r="E15">
        <f>9*100/13</f>
        <v>69.230769230769226</v>
      </c>
    </row>
    <row r="16" spans="1:9" x14ac:dyDescent="0.35">
      <c r="A16">
        <v>3</v>
      </c>
      <c r="B16" s="43" t="s">
        <v>7</v>
      </c>
      <c r="C16" s="43" t="s">
        <v>167</v>
      </c>
      <c r="D16">
        <v>3500000</v>
      </c>
      <c r="E16">
        <f>9*100/13</f>
        <v>69.230769230769226</v>
      </c>
    </row>
    <row r="17" spans="1:5" x14ac:dyDescent="0.35">
      <c r="A17">
        <v>4</v>
      </c>
      <c r="B17" s="43" t="s">
        <v>12</v>
      </c>
      <c r="C17" s="43" t="s">
        <v>319</v>
      </c>
      <c r="D17">
        <v>2700000</v>
      </c>
      <c r="E17">
        <f>7*100/13</f>
        <v>53.846153846153847</v>
      </c>
    </row>
    <row r="18" spans="1:5" x14ac:dyDescent="0.35">
      <c r="A18">
        <v>5</v>
      </c>
      <c r="B18" s="43" t="s">
        <v>55</v>
      </c>
      <c r="C18" s="43" t="s">
        <v>272</v>
      </c>
      <c r="D18">
        <v>2800000</v>
      </c>
      <c r="E18">
        <f>7*100/13</f>
        <v>53.846153846153847</v>
      </c>
    </row>
  </sheetData>
  <mergeCells count="3">
    <mergeCell ref="A1:C1"/>
    <mergeCell ref="A7:C7"/>
    <mergeCell ref="A13:C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EDFE-B189-4E32-8ADB-33C3CD09D79D}">
  <dimension ref="A1:AK8"/>
  <sheetViews>
    <sheetView workbookViewId="0">
      <pane xSplit="3" ySplit="1" topLeftCell="L2" activePane="bottomRight" state="frozen"/>
      <selection pane="topRight" activeCell="D1" sqref="D1"/>
      <selection pane="bottomLeft" activeCell="A2" sqref="A2"/>
      <selection pane="bottomRight" activeCell="AG11" sqref="AG11"/>
    </sheetView>
  </sheetViews>
  <sheetFormatPr defaultRowHeight="14.5" x14ac:dyDescent="0.35"/>
  <cols>
    <col min="1" max="1" width="2.81640625" customWidth="1"/>
    <col min="2" max="2" width="6.90625" customWidth="1"/>
    <col min="3" max="3" width="20.7265625" customWidth="1"/>
    <col min="4" max="4" width="6.54296875" customWidth="1"/>
    <col min="5" max="5" width="6.08984375" customWidth="1"/>
    <col min="6" max="6" width="5.7265625" customWidth="1"/>
    <col min="7" max="7" width="5.6328125" customWidth="1"/>
    <col min="10" max="10" width="4.90625" customWidth="1"/>
    <col min="11" max="11" width="5.36328125" customWidth="1"/>
    <col min="12" max="12" width="6.1796875" customWidth="1"/>
    <col min="13" max="13" width="6.36328125" customWidth="1"/>
    <col min="14" max="14" width="5.1796875" customWidth="1"/>
    <col min="15" max="15" width="8.7265625" customWidth="1"/>
    <col min="19" max="19" width="6.453125" customWidth="1"/>
    <col min="20" max="20" width="5.26953125" customWidth="1"/>
    <col min="21" max="21" width="6.54296875" customWidth="1"/>
    <col min="22" max="22" width="6.26953125" customWidth="1"/>
    <col min="23" max="23" width="5.36328125" customWidth="1"/>
    <col min="24" max="24" width="6.36328125" customWidth="1"/>
    <col min="25" max="25" width="7" customWidth="1"/>
    <col min="26" max="26" width="7.453125" customWidth="1"/>
    <col min="27" max="27" width="20.90625" customWidth="1"/>
    <col min="31" max="31" width="10.7265625" customWidth="1"/>
  </cols>
  <sheetData>
    <row r="1" spans="1:37" x14ac:dyDescent="0.35">
      <c r="A1" s="4" t="s">
        <v>307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204</v>
      </c>
      <c r="I1" s="4" t="s">
        <v>154</v>
      </c>
      <c r="J1" s="4" t="s">
        <v>180</v>
      </c>
      <c r="K1" s="4" t="s">
        <v>181</v>
      </c>
      <c r="L1" s="4" t="s">
        <v>184</v>
      </c>
      <c r="M1" s="4" t="s">
        <v>182</v>
      </c>
      <c r="N1" s="4" t="s">
        <v>183</v>
      </c>
      <c r="O1" s="4" t="s">
        <v>313</v>
      </c>
      <c r="P1" s="4" t="s">
        <v>308</v>
      </c>
      <c r="Q1" s="4" t="s">
        <v>315</v>
      </c>
      <c r="R1" s="4" t="s">
        <v>314</v>
      </c>
      <c r="S1" s="4" t="s">
        <v>201</v>
      </c>
      <c r="T1" s="4" t="s">
        <v>221</v>
      </c>
      <c r="U1" s="4" t="s">
        <v>222</v>
      </c>
      <c r="V1" s="4" t="s">
        <v>223</v>
      </c>
      <c r="W1" s="4" t="s">
        <v>200</v>
      </c>
      <c r="X1" s="4" t="s">
        <v>224</v>
      </c>
      <c r="Y1" s="4" t="s">
        <v>237</v>
      </c>
      <c r="Z1" s="4" t="s">
        <v>238</v>
      </c>
      <c r="AA1" s="4" t="s">
        <v>185</v>
      </c>
      <c r="AB1" s="4" t="s">
        <v>168</v>
      </c>
      <c r="AC1" s="4" t="s">
        <v>197</v>
      </c>
      <c r="AD1" s="4" t="s">
        <v>203</v>
      </c>
      <c r="AE1" s="4" t="s">
        <v>241</v>
      </c>
      <c r="AF1" s="4" t="s">
        <v>282</v>
      </c>
      <c r="AG1" s="4" t="s">
        <v>283</v>
      </c>
      <c r="AH1" s="4" t="s">
        <v>284</v>
      </c>
      <c r="AI1" s="4" t="s">
        <v>285</v>
      </c>
      <c r="AJ1" s="4" t="s">
        <v>286</v>
      </c>
      <c r="AK1" s="4" t="s">
        <v>287</v>
      </c>
    </row>
    <row r="2" spans="1:37" x14ac:dyDescent="0.35">
      <c r="A2" t="s">
        <v>172</v>
      </c>
      <c r="B2" s="33" t="s">
        <v>12</v>
      </c>
      <c r="C2" s="33" t="s">
        <v>162</v>
      </c>
      <c r="D2" s="25">
        <v>67.5</v>
      </c>
      <c r="E2" s="25">
        <v>136</v>
      </c>
      <c r="F2" s="35">
        <v>74.2</v>
      </c>
      <c r="G2" s="25">
        <v>100</v>
      </c>
      <c r="H2" s="25">
        <v>224</v>
      </c>
      <c r="I2" s="34">
        <v>2100000</v>
      </c>
      <c r="J2">
        <v>33.700000000000003</v>
      </c>
      <c r="K2">
        <v>24</v>
      </c>
      <c r="L2">
        <f>$J2-$K2</f>
        <v>9.7000000000000028</v>
      </c>
      <c r="M2">
        <v>93</v>
      </c>
      <c r="N2">
        <v>71.599999999999994</v>
      </c>
      <c r="O2" s="25">
        <v>109.1</v>
      </c>
      <c r="P2" s="37">
        <v>65</v>
      </c>
      <c r="Q2" s="36">
        <v>70</v>
      </c>
      <c r="R2" s="25">
        <v>89.5</v>
      </c>
      <c r="S2" s="25">
        <v>3.9</v>
      </c>
      <c r="T2" s="25">
        <v>1.1000000000000001</v>
      </c>
      <c r="U2" s="25">
        <f>1-($T2/$S2)</f>
        <v>0.71794871794871784</v>
      </c>
      <c r="V2" s="35">
        <f>$S2-$T2</f>
        <v>2.8</v>
      </c>
      <c r="W2" s="25">
        <v>0.65</v>
      </c>
      <c r="X2" s="25">
        <v>41.8</v>
      </c>
      <c r="Y2" s="25">
        <v>8.9</v>
      </c>
      <c r="Z2" s="25">
        <v>7.8</v>
      </c>
      <c r="AA2" s="5" t="s">
        <v>279</v>
      </c>
      <c r="AB2" s="1" t="s">
        <v>169</v>
      </c>
      <c r="AC2">
        <v>210</v>
      </c>
      <c r="AD2" s="34">
        <f>$O2-$M2</f>
        <v>16.099999999999994</v>
      </c>
      <c r="AE2" s="35" t="s">
        <v>316</v>
      </c>
      <c r="AF2">
        <v>36</v>
      </c>
      <c r="AG2">
        <v>26</v>
      </c>
      <c r="AH2">
        <f>$J2</f>
        <v>33.700000000000003</v>
      </c>
      <c r="AI2">
        <f>$K2</f>
        <v>24</v>
      </c>
      <c r="AJ2" s="30">
        <f>$AF2-$AG2</f>
        <v>10</v>
      </c>
      <c r="AK2">
        <f>$L2</f>
        <v>9.7000000000000028</v>
      </c>
    </row>
    <row r="3" spans="1:37" x14ac:dyDescent="0.35">
      <c r="A3" t="s">
        <v>172</v>
      </c>
      <c r="B3" s="34" t="s">
        <v>7</v>
      </c>
      <c r="C3" s="34" t="s">
        <v>179</v>
      </c>
      <c r="D3" s="34">
        <v>74.3</v>
      </c>
      <c r="E3">
        <v>147</v>
      </c>
      <c r="F3">
        <v>73.5</v>
      </c>
      <c r="G3">
        <v>126</v>
      </c>
      <c r="H3">
        <v>223</v>
      </c>
      <c r="I3">
        <v>2500000</v>
      </c>
      <c r="J3">
        <v>36.1</v>
      </c>
      <c r="K3">
        <v>28.1</v>
      </c>
      <c r="L3">
        <f>$J3-$K3</f>
        <v>8</v>
      </c>
      <c r="M3">
        <v>97.5</v>
      </c>
      <c r="N3">
        <v>71.599999999999994</v>
      </c>
      <c r="O3">
        <v>116.3</v>
      </c>
      <c r="P3" s="5">
        <v>70</v>
      </c>
      <c r="Q3" s="1">
        <v>72.5</v>
      </c>
      <c r="R3">
        <v>87.3</v>
      </c>
      <c r="S3">
        <v>1.6</v>
      </c>
      <c r="T3">
        <v>0.6</v>
      </c>
      <c r="U3" s="25">
        <f>1-($T3/$S3)</f>
        <v>0.625</v>
      </c>
      <c r="V3" s="25">
        <f>$S3-$T3</f>
        <v>1</v>
      </c>
      <c r="W3">
        <v>0.4</v>
      </c>
      <c r="X3" s="34">
        <v>43.5</v>
      </c>
      <c r="Y3">
        <v>9.8000000000000007</v>
      </c>
      <c r="Z3" t="s">
        <v>317</v>
      </c>
      <c r="AA3" s="5" t="s">
        <v>206</v>
      </c>
      <c r="AB3" s="1" t="s">
        <v>194</v>
      </c>
      <c r="AD3">
        <f>$O3-$M3</f>
        <v>18.799999999999997</v>
      </c>
      <c r="AE3" s="35" t="s">
        <v>310</v>
      </c>
      <c r="AF3">
        <v>38.5</v>
      </c>
      <c r="AG3">
        <v>32</v>
      </c>
      <c r="AH3">
        <f>$J3</f>
        <v>36.1</v>
      </c>
      <c r="AI3">
        <f>$K3</f>
        <v>28.1</v>
      </c>
      <c r="AJ3" s="7">
        <f>$AF3-$AG3</f>
        <v>6.5</v>
      </c>
      <c r="AK3">
        <f>$L3</f>
        <v>8</v>
      </c>
    </row>
    <row r="4" spans="1:37" x14ac:dyDescent="0.35">
      <c r="A4" t="s">
        <v>172</v>
      </c>
      <c r="B4" s="34" t="s">
        <v>27</v>
      </c>
      <c r="C4" s="34" t="s">
        <v>74</v>
      </c>
      <c r="D4">
        <v>63.6</v>
      </c>
      <c r="E4">
        <v>141</v>
      </c>
      <c r="F4">
        <v>66.5</v>
      </c>
      <c r="G4">
        <v>134</v>
      </c>
      <c r="H4">
        <v>254</v>
      </c>
      <c r="I4" s="34">
        <v>2100000</v>
      </c>
      <c r="J4">
        <v>40.9</v>
      </c>
      <c r="K4">
        <v>33.5</v>
      </c>
      <c r="L4">
        <f>$J4-$K4</f>
        <v>7.3999999999999986</v>
      </c>
      <c r="M4">
        <v>97.5</v>
      </c>
      <c r="N4">
        <v>74.400000000000006</v>
      </c>
      <c r="O4">
        <v>122.3</v>
      </c>
      <c r="P4" s="5">
        <v>73</v>
      </c>
      <c r="Q4" s="1">
        <v>81.5</v>
      </c>
      <c r="R4">
        <v>97.6</v>
      </c>
      <c r="S4">
        <v>3.3</v>
      </c>
      <c r="T4">
        <v>0.9</v>
      </c>
      <c r="U4" s="25">
        <f>1-($T4/$S4)</f>
        <v>0.72727272727272729</v>
      </c>
      <c r="V4" s="25">
        <f>$S4-$T4</f>
        <v>2.4</v>
      </c>
      <c r="W4">
        <v>0.53</v>
      </c>
      <c r="X4">
        <v>30.3</v>
      </c>
      <c r="Y4">
        <v>11.2</v>
      </c>
      <c r="Z4" t="s">
        <v>317</v>
      </c>
      <c r="AA4" s="5" t="s">
        <v>227</v>
      </c>
      <c r="AB4" s="1" t="s">
        <v>228</v>
      </c>
      <c r="AD4">
        <f>$O4-$M4</f>
        <v>24.799999999999997</v>
      </c>
      <c r="AE4" s="35" t="s">
        <v>311</v>
      </c>
      <c r="AF4">
        <v>41.5</v>
      </c>
      <c r="AG4">
        <v>33.5</v>
      </c>
      <c r="AH4">
        <f>$J4</f>
        <v>40.9</v>
      </c>
      <c r="AI4">
        <f>$K4</f>
        <v>33.5</v>
      </c>
      <c r="AJ4" s="1">
        <f>$AF4-$AG4</f>
        <v>8</v>
      </c>
      <c r="AK4">
        <f>$L4</f>
        <v>7.3999999999999986</v>
      </c>
    </row>
    <row r="5" spans="1:37" x14ac:dyDescent="0.35">
      <c r="A5" t="s">
        <v>274</v>
      </c>
      <c r="B5" s="16" t="s">
        <v>0</v>
      </c>
      <c r="C5" s="16" t="s">
        <v>175</v>
      </c>
      <c r="D5">
        <v>67.099999999999994</v>
      </c>
      <c r="E5">
        <v>147</v>
      </c>
      <c r="F5">
        <v>68.8</v>
      </c>
      <c r="G5">
        <v>131</v>
      </c>
      <c r="H5">
        <v>289</v>
      </c>
      <c r="I5">
        <v>2700000</v>
      </c>
      <c r="J5">
        <v>42.3</v>
      </c>
      <c r="K5">
        <v>32.700000000000003</v>
      </c>
      <c r="L5">
        <v>9.5999999999999943</v>
      </c>
      <c r="M5">
        <v>94.6</v>
      </c>
      <c r="N5">
        <v>71.099999999999994</v>
      </c>
      <c r="O5">
        <v>117</v>
      </c>
      <c r="P5" s="5">
        <v>75</v>
      </c>
      <c r="Q5" s="1">
        <v>75.5</v>
      </c>
      <c r="R5">
        <v>99.2</v>
      </c>
      <c r="S5">
        <v>2.9</v>
      </c>
      <c r="T5">
        <v>0.8</v>
      </c>
      <c r="U5" s="25">
        <v>0.72413793103448276</v>
      </c>
      <c r="V5" s="25">
        <v>2.0999999999999996</v>
      </c>
      <c r="W5">
        <v>0.42</v>
      </c>
      <c r="X5">
        <v>32.5</v>
      </c>
      <c r="Y5" s="16">
        <v>19.8</v>
      </c>
      <c r="Z5">
        <v>14.5</v>
      </c>
      <c r="AA5" s="5" t="s">
        <v>205</v>
      </c>
      <c r="AB5" s="1" t="s">
        <v>195</v>
      </c>
      <c r="AC5">
        <v>240</v>
      </c>
      <c r="AD5">
        <v>22.400000000000006</v>
      </c>
      <c r="AE5" s="16" t="s">
        <v>318</v>
      </c>
      <c r="AF5">
        <v>45</v>
      </c>
      <c r="AG5">
        <v>35</v>
      </c>
      <c r="AH5">
        <v>42.3</v>
      </c>
      <c r="AI5">
        <v>32.700000000000003</v>
      </c>
      <c r="AJ5" s="30">
        <v>10</v>
      </c>
      <c r="AK5">
        <v>9.5999999999999943</v>
      </c>
    </row>
    <row r="6" spans="1:37" x14ac:dyDescent="0.35">
      <c r="A6" t="s">
        <v>274</v>
      </c>
      <c r="B6" s="16" t="s">
        <v>27</v>
      </c>
      <c r="C6" s="16" t="s">
        <v>166</v>
      </c>
      <c r="D6" s="25">
        <v>73</v>
      </c>
      <c r="E6" s="27">
        <v>160</v>
      </c>
      <c r="F6" s="25">
        <v>73.8</v>
      </c>
      <c r="G6" s="25">
        <v>144</v>
      </c>
      <c r="H6" s="27">
        <v>218</v>
      </c>
      <c r="I6">
        <v>3800000</v>
      </c>
      <c r="J6">
        <v>45.1</v>
      </c>
      <c r="K6">
        <v>37</v>
      </c>
      <c r="L6">
        <v>8.1000000000000014</v>
      </c>
      <c r="M6">
        <v>93.7</v>
      </c>
      <c r="N6">
        <v>74.3</v>
      </c>
      <c r="O6" s="25">
        <v>117.9</v>
      </c>
      <c r="P6" s="37">
        <v>80</v>
      </c>
      <c r="Q6" s="36">
        <v>81.5</v>
      </c>
      <c r="R6" s="25">
        <v>95.4</v>
      </c>
      <c r="S6" s="25">
        <v>3</v>
      </c>
      <c r="T6" s="25">
        <v>0.9</v>
      </c>
      <c r="U6" s="25">
        <v>0.7</v>
      </c>
      <c r="V6" s="25">
        <v>2.1</v>
      </c>
      <c r="W6" s="25">
        <v>0.8</v>
      </c>
      <c r="X6" s="25">
        <v>30.8</v>
      </c>
      <c r="Y6" s="25">
        <v>18.8</v>
      </c>
      <c r="Z6" s="27">
        <v>20.7</v>
      </c>
      <c r="AA6" s="5" t="s">
        <v>188</v>
      </c>
      <c r="AB6" s="1" t="s">
        <v>169</v>
      </c>
      <c r="AC6">
        <v>202</v>
      </c>
      <c r="AD6">
        <v>24.200000000000003</v>
      </c>
      <c r="AE6" s="16" t="s">
        <v>312</v>
      </c>
      <c r="AF6">
        <v>45</v>
      </c>
      <c r="AG6">
        <v>37</v>
      </c>
      <c r="AH6">
        <v>45.1</v>
      </c>
      <c r="AI6">
        <v>37</v>
      </c>
      <c r="AJ6" s="30">
        <v>8</v>
      </c>
      <c r="AK6">
        <v>8.1000000000000014</v>
      </c>
    </row>
    <row r="7" spans="1:37" x14ac:dyDescent="0.35">
      <c r="A7" t="s">
        <v>274</v>
      </c>
      <c r="B7" s="27" t="s">
        <v>27</v>
      </c>
      <c r="C7" s="27" t="s">
        <v>226</v>
      </c>
      <c r="D7">
        <v>67.8</v>
      </c>
      <c r="E7">
        <v>154</v>
      </c>
      <c r="F7">
        <v>67.5</v>
      </c>
      <c r="G7" s="16">
        <v>153</v>
      </c>
      <c r="H7">
        <v>235</v>
      </c>
      <c r="I7">
        <v>3400000</v>
      </c>
      <c r="J7">
        <v>45.8</v>
      </c>
      <c r="K7">
        <v>37.700000000000003</v>
      </c>
      <c r="L7">
        <f>$J7-$K7</f>
        <v>8.0999999999999943</v>
      </c>
      <c r="M7">
        <v>95.7</v>
      </c>
      <c r="N7">
        <v>71.599999999999994</v>
      </c>
      <c r="O7">
        <v>120.7</v>
      </c>
      <c r="P7" s="5">
        <v>82</v>
      </c>
      <c r="Q7" s="1">
        <v>82.5</v>
      </c>
      <c r="R7">
        <v>95</v>
      </c>
      <c r="S7">
        <v>2.4</v>
      </c>
      <c r="T7">
        <v>0.5</v>
      </c>
      <c r="U7" s="27">
        <f>1-($T7/$S7)</f>
        <v>0.79166666666666663</v>
      </c>
      <c r="V7" s="25">
        <f>$S7-$T7</f>
        <v>1.9</v>
      </c>
      <c r="W7" s="16">
        <v>0.96</v>
      </c>
      <c r="X7">
        <f>AVERAGE(22.8,37)</f>
        <v>29.9</v>
      </c>
      <c r="Y7">
        <v>16.5</v>
      </c>
      <c r="Z7">
        <v>18.2</v>
      </c>
      <c r="AA7" s="5" t="s">
        <v>229</v>
      </c>
      <c r="AB7" s="1" t="s">
        <v>170</v>
      </c>
      <c r="AC7">
        <v>210</v>
      </c>
      <c r="AD7">
        <f>$O7-$M7</f>
        <v>25</v>
      </c>
      <c r="AE7" s="27" t="s">
        <v>312</v>
      </c>
      <c r="AF7">
        <v>45</v>
      </c>
      <c r="AG7">
        <v>37</v>
      </c>
      <c r="AH7">
        <f>$J7</f>
        <v>45.8</v>
      </c>
      <c r="AI7">
        <f>$K7</f>
        <v>37.700000000000003</v>
      </c>
      <c r="AJ7" s="30">
        <f>$AF7-$AG7</f>
        <v>8</v>
      </c>
      <c r="AK7">
        <f>$L7</f>
        <v>8.0999999999999943</v>
      </c>
    </row>
    <row r="8" spans="1:37" x14ac:dyDescent="0.35">
      <c r="A8" t="s">
        <v>172</v>
      </c>
      <c r="B8" s="1" t="s">
        <v>10</v>
      </c>
      <c r="C8" s="1" t="s">
        <v>160</v>
      </c>
      <c r="D8">
        <v>59.8</v>
      </c>
      <c r="E8">
        <v>145</v>
      </c>
      <c r="F8">
        <v>67.3</v>
      </c>
      <c r="G8">
        <v>105</v>
      </c>
      <c r="H8">
        <v>220</v>
      </c>
      <c r="I8">
        <v>2500000</v>
      </c>
      <c r="J8">
        <v>33</v>
      </c>
      <c r="K8">
        <v>26.7</v>
      </c>
      <c r="L8">
        <f>$J8-$K8</f>
        <v>6.3000000000000007</v>
      </c>
      <c r="M8">
        <v>96.1</v>
      </c>
      <c r="N8">
        <v>75</v>
      </c>
      <c r="O8">
        <v>114.9</v>
      </c>
      <c r="P8" s="5">
        <v>85</v>
      </c>
      <c r="Q8" s="1">
        <v>86.5</v>
      </c>
      <c r="R8">
        <v>91.4</v>
      </c>
      <c r="S8">
        <v>2.6</v>
      </c>
      <c r="T8">
        <v>0.8</v>
      </c>
      <c r="U8" s="25">
        <f>1-($T8/$S8)</f>
        <v>0.69230769230769229</v>
      </c>
      <c r="V8" s="25">
        <f>$S8-$T8</f>
        <v>1.8</v>
      </c>
      <c r="W8">
        <v>0.5</v>
      </c>
      <c r="X8">
        <v>25.7</v>
      </c>
      <c r="Y8">
        <v>11.7</v>
      </c>
      <c r="Z8">
        <v>10.8</v>
      </c>
      <c r="AA8" s="5" t="s">
        <v>233</v>
      </c>
      <c r="AB8" s="1" t="s">
        <v>170</v>
      </c>
      <c r="AD8">
        <f>$O8-$M8</f>
        <v>18.800000000000011</v>
      </c>
      <c r="AE8" s="25" t="s">
        <v>309</v>
      </c>
      <c r="AF8">
        <v>35</v>
      </c>
      <c r="AG8">
        <v>29</v>
      </c>
      <c r="AH8">
        <f>$J8</f>
        <v>33</v>
      </c>
      <c r="AI8">
        <f>$K8</f>
        <v>26.7</v>
      </c>
      <c r="AJ8" s="30">
        <f>$AF8-$AG8</f>
        <v>6</v>
      </c>
      <c r="AK8">
        <f>$L8</f>
        <v>6.3000000000000007</v>
      </c>
    </row>
  </sheetData>
  <sortState xmlns:xlrd2="http://schemas.microsoft.com/office/spreadsheetml/2017/richdata2" ref="A2:AK8">
    <sortCondition ref="P2:P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44BF8-E629-445C-924E-312258293816}">
  <dimension ref="A1:AB14"/>
  <sheetViews>
    <sheetView workbookViewId="0">
      <pane xSplit="3" ySplit="1" topLeftCell="V2" activePane="bottomRight" state="frozen"/>
      <selection pane="topRight" activeCell="D1" sqref="D1"/>
      <selection pane="bottomLeft" activeCell="A2" sqref="A2"/>
      <selection pane="bottomRight" activeCell="U6" sqref="U6"/>
    </sheetView>
  </sheetViews>
  <sheetFormatPr defaultRowHeight="14.5" x14ac:dyDescent="0.35"/>
  <cols>
    <col min="1" max="1" width="4.08984375" customWidth="1"/>
    <col min="2" max="2" width="9.36328125" customWidth="1"/>
    <col min="3" max="3" width="22.81640625" customWidth="1"/>
    <col min="4" max="4" width="5" customWidth="1"/>
    <col min="5" max="5" width="4.36328125" customWidth="1"/>
    <col min="6" max="6" width="5.08984375" customWidth="1"/>
    <col min="7" max="7" width="4.453125" customWidth="1"/>
    <col min="10" max="10" width="5.453125" customWidth="1"/>
    <col min="11" max="11" width="5.08984375" customWidth="1"/>
    <col min="12" max="12" width="6" customWidth="1"/>
    <col min="13" max="13" width="5.7265625" customWidth="1"/>
    <col min="14" max="14" width="4.6328125" customWidth="1"/>
    <col min="15" max="16" width="6.36328125" customWidth="1"/>
    <col min="17" max="17" width="5" customWidth="1"/>
    <col min="18" max="18" width="6.6328125" customWidth="1"/>
    <col min="19" max="21" width="6" customWidth="1"/>
    <col min="22" max="22" width="6.90625" customWidth="1"/>
    <col min="23" max="23" width="7.453125" customWidth="1"/>
    <col min="24" max="24" width="19" customWidth="1"/>
    <col min="25" max="25" width="10" customWidth="1"/>
    <col min="28" max="28" width="33.26953125" customWidth="1"/>
  </cols>
  <sheetData>
    <row r="1" spans="1:28" x14ac:dyDescent="0.35">
      <c r="A1" s="4" t="s">
        <v>177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204</v>
      </c>
      <c r="I1" s="4" t="s">
        <v>154</v>
      </c>
      <c r="J1" s="4" t="s">
        <v>180</v>
      </c>
      <c r="K1" s="4" t="s">
        <v>181</v>
      </c>
      <c r="L1" s="4" t="s">
        <v>184</v>
      </c>
      <c r="M1" s="4" t="s">
        <v>182</v>
      </c>
      <c r="N1" s="4" t="s">
        <v>183</v>
      </c>
      <c r="O1" s="4" t="s">
        <v>198</v>
      </c>
      <c r="P1" s="4" t="s">
        <v>201</v>
      </c>
      <c r="Q1" s="4" t="s">
        <v>221</v>
      </c>
      <c r="R1" s="4" t="s">
        <v>222</v>
      </c>
      <c r="S1" s="4" t="s">
        <v>223</v>
      </c>
      <c r="T1" s="4" t="s">
        <v>200</v>
      </c>
      <c r="U1" s="4" t="s">
        <v>224</v>
      </c>
      <c r="V1" s="4" t="s">
        <v>237</v>
      </c>
      <c r="W1" s="4" t="s">
        <v>238</v>
      </c>
      <c r="X1" s="4" t="s">
        <v>185</v>
      </c>
      <c r="Y1" s="4" t="s">
        <v>168</v>
      </c>
      <c r="Z1" s="4" t="s">
        <v>197</v>
      </c>
      <c r="AA1" s="4" t="s">
        <v>203</v>
      </c>
      <c r="AB1" s="4" t="s">
        <v>241</v>
      </c>
    </row>
    <row r="2" spans="1:28" x14ac:dyDescent="0.35">
      <c r="A2" t="s">
        <v>171</v>
      </c>
      <c r="B2" s="24" t="s">
        <v>12</v>
      </c>
      <c r="C2" s="24" t="s">
        <v>178</v>
      </c>
      <c r="D2" s="25">
        <v>77.400000000000006</v>
      </c>
      <c r="E2" s="25">
        <v>148</v>
      </c>
      <c r="F2" s="25">
        <v>77.2</v>
      </c>
      <c r="G2" s="25">
        <v>118</v>
      </c>
      <c r="H2" s="25">
        <v>173</v>
      </c>
      <c r="I2">
        <v>3800000</v>
      </c>
      <c r="J2">
        <v>37.200000000000003</v>
      </c>
      <c r="K2">
        <v>28.3</v>
      </c>
      <c r="L2">
        <f t="shared" ref="L2:L14" si="0">$J2-$K2</f>
        <v>8.9000000000000021</v>
      </c>
      <c r="M2">
        <v>93.6</v>
      </c>
      <c r="N2">
        <v>74.8</v>
      </c>
      <c r="O2" s="25">
        <v>105.9</v>
      </c>
      <c r="P2" s="25">
        <v>2.1</v>
      </c>
      <c r="Q2" s="25">
        <v>0.8</v>
      </c>
      <c r="R2" s="25">
        <f t="shared" ref="R2:R14" si="1">1-($Q2/$P2)</f>
        <v>0.61904761904761907</v>
      </c>
      <c r="S2" s="25">
        <f t="shared" ref="S2:S14" si="2">$P2-$Q2</f>
        <v>1.3</v>
      </c>
      <c r="T2" s="25">
        <v>0.69</v>
      </c>
      <c r="U2" s="31">
        <v>37</v>
      </c>
      <c r="V2" s="25">
        <v>21.1</v>
      </c>
      <c r="W2" s="25">
        <v>16.7</v>
      </c>
      <c r="X2" s="5" t="s">
        <v>189</v>
      </c>
      <c r="Y2" s="1" t="s">
        <v>169</v>
      </c>
      <c r="Z2">
        <v>155</v>
      </c>
      <c r="AA2">
        <f t="shared" ref="AA2:AA14" si="3">$O2-$M2</f>
        <v>12.300000000000011</v>
      </c>
      <c r="AB2" s="24" t="s">
        <v>290</v>
      </c>
    </row>
    <row r="3" spans="1:28" x14ac:dyDescent="0.35">
      <c r="A3" t="s">
        <v>171</v>
      </c>
      <c r="B3" s="7" t="s">
        <v>27</v>
      </c>
      <c r="C3" s="7" t="s">
        <v>234</v>
      </c>
      <c r="D3" s="25">
        <v>78.5</v>
      </c>
      <c r="E3" s="25">
        <v>147</v>
      </c>
      <c r="F3" s="25">
        <v>78.2</v>
      </c>
      <c r="G3" s="25">
        <v>122</v>
      </c>
      <c r="H3" s="25">
        <v>163</v>
      </c>
      <c r="I3">
        <v>4300000</v>
      </c>
      <c r="J3">
        <v>38.700000000000003</v>
      </c>
      <c r="K3">
        <v>32.700000000000003</v>
      </c>
      <c r="L3">
        <f t="shared" si="0"/>
        <v>6</v>
      </c>
      <c r="M3">
        <v>90.5</v>
      </c>
      <c r="N3">
        <v>70.099999999999994</v>
      </c>
      <c r="O3" s="25">
        <v>114.9</v>
      </c>
      <c r="P3" s="25">
        <v>1.4</v>
      </c>
      <c r="Q3" s="25">
        <v>1.4</v>
      </c>
      <c r="R3" s="25">
        <f t="shared" si="1"/>
        <v>0</v>
      </c>
      <c r="S3" s="25">
        <f t="shared" si="2"/>
        <v>0</v>
      </c>
      <c r="T3" s="25">
        <v>0.66</v>
      </c>
      <c r="U3" s="25">
        <f>AVERAGE(31.9,38)</f>
        <v>34.950000000000003</v>
      </c>
      <c r="V3" s="25">
        <v>21.1</v>
      </c>
      <c r="W3" s="32">
        <v>17.899999999999999</v>
      </c>
      <c r="X3" s="5" t="s">
        <v>235</v>
      </c>
      <c r="Y3" s="1" t="s">
        <v>236</v>
      </c>
      <c r="AA3">
        <f t="shared" si="3"/>
        <v>24.400000000000006</v>
      </c>
      <c r="AB3" s="7" t="s">
        <v>288</v>
      </c>
    </row>
    <row r="4" spans="1:28" x14ac:dyDescent="0.35">
      <c r="A4" t="s">
        <v>171</v>
      </c>
      <c r="B4" s="24" t="s">
        <v>10</v>
      </c>
      <c r="C4" s="24" t="s">
        <v>245</v>
      </c>
      <c r="D4" s="25">
        <v>74.8</v>
      </c>
      <c r="E4" s="25">
        <v>144</v>
      </c>
      <c r="F4" s="25">
        <v>74.900000000000006</v>
      </c>
      <c r="G4" s="25">
        <v>112</v>
      </c>
      <c r="H4" s="25">
        <v>198</v>
      </c>
      <c r="I4" s="25">
        <v>4000000</v>
      </c>
      <c r="J4" s="25">
        <v>39.299999999999997</v>
      </c>
      <c r="K4" s="25">
        <v>28.6</v>
      </c>
      <c r="L4">
        <f t="shared" si="0"/>
        <v>10.699999999999996</v>
      </c>
      <c r="M4" s="25">
        <v>93.8</v>
      </c>
      <c r="N4" s="25">
        <v>74.5</v>
      </c>
      <c r="O4" s="25">
        <v>107</v>
      </c>
      <c r="P4" s="31">
        <v>3.5</v>
      </c>
      <c r="Q4" s="25">
        <v>1.1000000000000001</v>
      </c>
      <c r="R4" s="31">
        <f t="shared" si="1"/>
        <v>0.68571428571428572</v>
      </c>
      <c r="S4" s="31">
        <f t="shared" si="2"/>
        <v>2.4</v>
      </c>
      <c r="T4" s="25">
        <v>0.61</v>
      </c>
      <c r="U4" s="25">
        <f>AVERAGE(33.8,31.7)</f>
        <v>32.75</v>
      </c>
      <c r="V4" s="25">
        <v>22.7</v>
      </c>
      <c r="W4" s="25">
        <v>12.5</v>
      </c>
      <c r="X4" s="5" t="s">
        <v>246</v>
      </c>
      <c r="Y4" s="1" t="s">
        <v>193</v>
      </c>
      <c r="AA4">
        <f t="shared" si="3"/>
        <v>13.200000000000003</v>
      </c>
      <c r="AB4" s="24" t="s">
        <v>303</v>
      </c>
    </row>
    <row r="5" spans="1:28" x14ac:dyDescent="0.35">
      <c r="A5" t="s">
        <v>171</v>
      </c>
      <c r="B5" s="7" t="s">
        <v>16</v>
      </c>
      <c r="C5" s="7" t="s">
        <v>248</v>
      </c>
      <c r="D5" s="25">
        <v>73.900000000000006</v>
      </c>
      <c r="E5" s="25">
        <v>155</v>
      </c>
      <c r="F5" s="25">
        <v>78</v>
      </c>
      <c r="G5" s="25">
        <v>112</v>
      </c>
      <c r="H5" s="32">
        <v>220</v>
      </c>
      <c r="I5" s="25">
        <v>4500000</v>
      </c>
      <c r="J5" s="25">
        <v>39.6</v>
      </c>
      <c r="K5" s="25">
        <v>29.6</v>
      </c>
      <c r="L5">
        <f t="shared" si="0"/>
        <v>10</v>
      </c>
      <c r="M5" s="25">
        <v>92</v>
      </c>
      <c r="N5" s="25">
        <v>70</v>
      </c>
      <c r="O5" s="25">
        <v>108</v>
      </c>
      <c r="P5" s="25">
        <v>2.4</v>
      </c>
      <c r="Q5" s="25">
        <v>0.9</v>
      </c>
      <c r="R5" s="25">
        <f t="shared" si="1"/>
        <v>0.625</v>
      </c>
      <c r="S5" s="25">
        <f t="shared" si="2"/>
        <v>1.5</v>
      </c>
      <c r="T5" s="25">
        <v>0.56999999999999995</v>
      </c>
      <c r="U5">
        <f>AVERAGE(34.3,35)</f>
        <v>34.65</v>
      </c>
      <c r="V5" s="25">
        <v>21.3</v>
      </c>
      <c r="W5" s="25">
        <v>15.6</v>
      </c>
      <c r="X5" s="5" t="s">
        <v>232</v>
      </c>
      <c r="Y5" s="1" t="s">
        <v>193</v>
      </c>
      <c r="AA5">
        <f t="shared" si="3"/>
        <v>16</v>
      </c>
      <c r="AB5" s="7" t="s">
        <v>288</v>
      </c>
    </row>
    <row r="6" spans="1:28" x14ac:dyDescent="0.35">
      <c r="A6" t="s">
        <v>171</v>
      </c>
      <c r="B6" s="24" t="s">
        <v>27</v>
      </c>
      <c r="C6" s="24" t="s">
        <v>249</v>
      </c>
      <c r="D6" s="25">
        <v>78.3</v>
      </c>
      <c r="E6" s="25">
        <v>146</v>
      </c>
      <c r="F6" s="25">
        <v>76.8</v>
      </c>
      <c r="G6" s="25">
        <v>132</v>
      </c>
      <c r="H6" s="25">
        <v>159</v>
      </c>
      <c r="I6">
        <v>4300000</v>
      </c>
      <c r="J6" s="25">
        <v>38.9</v>
      </c>
      <c r="K6" s="25">
        <v>32</v>
      </c>
      <c r="L6">
        <f t="shared" si="0"/>
        <v>6.8999999999999986</v>
      </c>
      <c r="M6">
        <v>89.4</v>
      </c>
      <c r="N6">
        <v>73</v>
      </c>
      <c r="O6" s="25">
        <v>108</v>
      </c>
      <c r="P6" s="25">
        <v>1.4</v>
      </c>
      <c r="Q6" s="25">
        <v>0.9</v>
      </c>
      <c r="R6" s="25">
        <f t="shared" si="1"/>
        <v>0.3571428571428571</v>
      </c>
      <c r="S6" s="25">
        <f t="shared" si="2"/>
        <v>0.49999999999999989</v>
      </c>
      <c r="T6" s="31">
        <v>0.74</v>
      </c>
      <c r="U6">
        <f>AVERAGE(24.5,35.9)</f>
        <v>30.2</v>
      </c>
      <c r="V6" s="25">
        <v>15.8</v>
      </c>
      <c r="W6" s="25">
        <v>14.5</v>
      </c>
      <c r="X6" s="5" t="s">
        <v>235</v>
      </c>
      <c r="Y6" s="1" t="s">
        <v>236</v>
      </c>
      <c r="AA6">
        <f t="shared" si="3"/>
        <v>18.599999999999994</v>
      </c>
      <c r="AB6" s="24" t="s">
        <v>290</v>
      </c>
    </row>
    <row r="7" spans="1:28" x14ac:dyDescent="0.35">
      <c r="A7" t="s">
        <v>171</v>
      </c>
      <c r="B7" s="1" t="s">
        <v>22</v>
      </c>
      <c r="C7" s="1" t="s">
        <v>250</v>
      </c>
      <c r="D7" s="31">
        <v>80.599999999999994</v>
      </c>
      <c r="E7" s="25">
        <v>157</v>
      </c>
      <c r="F7" s="25">
        <v>82.1</v>
      </c>
      <c r="G7" s="25">
        <v>123</v>
      </c>
      <c r="H7" s="25">
        <v>197</v>
      </c>
      <c r="I7" s="25">
        <v>4300000</v>
      </c>
      <c r="J7" s="25">
        <v>39.9</v>
      </c>
      <c r="K7" s="25">
        <v>32.4</v>
      </c>
      <c r="L7">
        <f t="shared" si="0"/>
        <v>7.5</v>
      </c>
      <c r="M7" s="25">
        <v>95.6</v>
      </c>
      <c r="N7" s="25">
        <v>71</v>
      </c>
      <c r="O7" s="25">
        <v>116.2</v>
      </c>
      <c r="P7" s="25">
        <v>1.2</v>
      </c>
      <c r="Q7" s="31">
        <v>0.5</v>
      </c>
      <c r="R7" s="25">
        <f t="shared" si="1"/>
        <v>0.58333333333333326</v>
      </c>
      <c r="S7" s="25">
        <f t="shared" si="2"/>
        <v>0.7</v>
      </c>
      <c r="T7" s="32">
        <v>0.48</v>
      </c>
      <c r="U7" s="7">
        <f>AVERAGE(22.3,8.8)</f>
        <v>15.55</v>
      </c>
      <c r="V7" s="25">
        <v>17.5</v>
      </c>
      <c r="W7" s="25">
        <v>10.4</v>
      </c>
      <c r="X7" s="5" t="s">
        <v>232</v>
      </c>
      <c r="Y7" s="1" t="s">
        <v>194</v>
      </c>
      <c r="AA7">
        <f t="shared" si="3"/>
        <v>20.600000000000009</v>
      </c>
      <c r="AB7" s="1" t="s">
        <v>293</v>
      </c>
    </row>
    <row r="8" spans="1:28" x14ac:dyDescent="0.35">
      <c r="A8" t="s">
        <v>171</v>
      </c>
      <c r="B8" s="24" t="s">
        <v>12</v>
      </c>
      <c r="C8" s="24" t="s">
        <v>157</v>
      </c>
      <c r="D8">
        <v>80.400000000000006</v>
      </c>
      <c r="E8">
        <v>148</v>
      </c>
      <c r="F8" s="24">
        <v>82.6</v>
      </c>
      <c r="G8">
        <v>124</v>
      </c>
      <c r="H8">
        <v>173</v>
      </c>
      <c r="I8">
        <v>4300000</v>
      </c>
      <c r="J8">
        <v>38.5</v>
      </c>
      <c r="K8">
        <v>30.2</v>
      </c>
      <c r="L8">
        <f t="shared" si="0"/>
        <v>8.3000000000000007</v>
      </c>
      <c r="M8">
        <v>92.9</v>
      </c>
      <c r="N8">
        <v>72.3</v>
      </c>
      <c r="O8">
        <v>111.6</v>
      </c>
      <c r="P8">
        <v>1.5</v>
      </c>
      <c r="Q8">
        <v>3.1</v>
      </c>
      <c r="R8" s="25">
        <f t="shared" si="1"/>
        <v>-1.0666666666666669</v>
      </c>
      <c r="S8" s="25">
        <f t="shared" si="2"/>
        <v>-1.6</v>
      </c>
      <c r="T8">
        <v>0.71</v>
      </c>
      <c r="U8">
        <f>AVERAGE(36.1,33.7)</f>
        <v>34.900000000000006</v>
      </c>
      <c r="V8">
        <v>23.1</v>
      </c>
      <c r="W8">
        <v>13.2</v>
      </c>
      <c r="X8" s="5" t="s">
        <v>190</v>
      </c>
      <c r="Y8" s="1" t="s">
        <v>169</v>
      </c>
      <c r="Z8">
        <v>155</v>
      </c>
      <c r="AA8">
        <f t="shared" si="3"/>
        <v>18.699999999999989</v>
      </c>
      <c r="AB8" s="24" t="s">
        <v>290</v>
      </c>
    </row>
    <row r="9" spans="1:28" x14ac:dyDescent="0.35">
      <c r="A9" t="s">
        <v>171</v>
      </c>
      <c r="B9" s="24" t="s">
        <v>7</v>
      </c>
      <c r="C9" s="24" t="s">
        <v>251</v>
      </c>
      <c r="D9" s="25">
        <v>76.8</v>
      </c>
      <c r="E9" s="25">
        <v>153</v>
      </c>
      <c r="F9" s="25">
        <v>80.2</v>
      </c>
      <c r="G9" s="31">
        <v>142</v>
      </c>
      <c r="H9" s="31">
        <v>99</v>
      </c>
      <c r="I9" s="32">
        <v>11000000</v>
      </c>
      <c r="J9" s="25">
        <v>38.1</v>
      </c>
      <c r="K9" s="25">
        <v>32.200000000000003</v>
      </c>
      <c r="L9">
        <f t="shared" si="0"/>
        <v>5.8999999999999986</v>
      </c>
      <c r="M9" s="25">
        <v>89.3</v>
      </c>
      <c r="N9" s="25">
        <v>65.900000000000006</v>
      </c>
      <c r="O9" s="25">
        <v>114.5</v>
      </c>
      <c r="P9" s="25">
        <v>1</v>
      </c>
      <c r="Q9" s="32">
        <v>6.3</v>
      </c>
      <c r="R9" s="32">
        <f t="shared" si="1"/>
        <v>-5.3</v>
      </c>
      <c r="S9" s="32">
        <f t="shared" si="2"/>
        <v>-5.3</v>
      </c>
      <c r="T9" s="25">
        <v>0.56999999999999995</v>
      </c>
      <c r="U9" s="25">
        <v>21</v>
      </c>
      <c r="V9" s="31">
        <v>15.6</v>
      </c>
      <c r="W9" s="31">
        <v>8.3000000000000007</v>
      </c>
      <c r="X9" s="5" t="s">
        <v>190</v>
      </c>
      <c r="Y9" s="1" t="s">
        <v>194</v>
      </c>
      <c r="AA9" s="24">
        <f t="shared" si="3"/>
        <v>25.200000000000003</v>
      </c>
      <c r="AB9" s="24" t="s">
        <v>305</v>
      </c>
    </row>
    <row r="10" spans="1:28" x14ac:dyDescent="0.35">
      <c r="A10" t="s">
        <v>171</v>
      </c>
      <c r="B10" s="1" t="s">
        <v>29</v>
      </c>
      <c r="C10" s="1" t="s">
        <v>291</v>
      </c>
      <c r="D10">
        <v>72.099999999999994</v>
      </c>
      <c r="E10" s="25">
        <v>139</v>
      </c>
      <c r="F10" s="25">
        <v>73.400000000000006</v>
      </c>
      <c r="G10">
        <v>127</v>
      </c>
      <c r="H10">
        <v>201</v>
      </c>
      <c r="I10">
        <v>5200000</v>
      </c>
      <c r="J10" s="25">
        <v>38.1</v>
      </c>
      <c r="K10" s="25">
        <v>34.9</v>
      </c>
      <c r="L10">
        <f t="shared" si="0"/>
        <v>3.2000000000000028</v>
      </c>
      <c r="M10">
        <v>95.6</v>
      </c>
      <c r="N10">
        <v>73.400000000000006</v>
      </c>
      <c r="O10" s="25">
        <v>114.1</v>
      </c>
      <c r="P10" s="25">
        <v>1.6</v>
      </c>
      <c r="Q10">
        <v>1</v>
      </c>
      <c r="R10" s="25">
        <f t="shared" si="1"/>
        <v>0.375</v>
      </c>
      <c r="S10" s="25">
        <f t="shared" si="2"/>
        <v>0.60000000000000009</v>
      </c>
      <c r="T10" s="25">
        <v>0.62</v>
      </c>
      <c r="U10">
        <f>AVERAGE(34.2,29.7)</f>
        <v>31.950000000000003</v>
      </c>
      <c r="V10" s="25">
        <v>17.8</v>
      </c>
      <c r="W10" s="25">
        <v>15.4</v>
      </c>
      <c r="X10" s="5" t="s">
        <v>295</v>
      </c>
      <c r="Y10" s="1" t="s">
        <v>193</v>
      </c>
      <c r="AA10">
        <f t="shared" si="3"/>
        <v>18.5</v>
      </c>
      <c r="AB10" s="1" t="s">
        <v>296</v>
      </c>
    </row>
    <row r="11" spans="1:28" x14ac:dyDescent="0.35">
      <c r="A11" t="s">
        <v>171</v>
      </c>
      <c r="B11" s="7" t="s">
        <v>27</v>
      </c>
      <c r="C11" s="7" t="s">
        <v>292</v>
      </c>
      <c r="D11">
        <v>78</v>
      </c>
      <c r="E11" s="31">
        <v>170</v>
      </c>
      <c r="F11" s="25">
        <v>81</v>
      </c>
      <c r="G11">
        <v>120</v>
      </c>
      <c r="H11">
        <v>129</v>
      </c>
      <c r="I11">
        <v>4900000</v>
      </c>
      <c r="J11" s="25">
        <v>39.799999999999997</v>
      </c>
      <c r="K11" s="25">
        <v>30</v>
      </c>
      <c r="L11">
        <f t="shared" si="0"/>
        <v>9.7999999999999972</v>
      </c>
      <c r="M11" s="25">
        <v>91.3</v>
      </c>
      <c r="N11" s="25">
        <v>69.599999999999994</v>
      </c>
      <c r="O11" s="25">
        <v>100.8</v>
      </c>
      <c r="P11" s="32">
        <v>0.9</v>
      </c>
      <c r="Q11" s="25">
        <v>1.2</v>
      </c>
      <c r="R11" s="25">
        <f t="shared" si="1"/>
        <v>-0.33333333333333326</v>
      </c>
      <c r="S11" s="25">
        <f t="shared" si="2"/>
        <v>-0.29999999999999993</v>
      </c>
      <c r="T11" s="25">
        <v>0.7</v>
      </c>
      <c r="U11">
        <f>AVERAGE(28.6,37.6)</f>
        <v>33.1</v>
      </c>
      <c r="V11" s="25">
        <v>16.3</v>
      </c>
      <c r="W11" s="25">
        <v>10.8</v>
      </c>
      <c r="X11" s="5" t="s">
        <v>294</v>
      </c>
      <c r="Y11" s="1" t="s">
        <v>169</v>
      </c>
      <c r="AA11" s="7">
        <f t="shared" si="3"/>
        <v>9.5</v>
      </c>
      <c r="AB11" s="7" t="s">
        <v>301</v>
      </c>
    </row>
    <row r="12" spans="1:28" x14ac:dyDescent="0.35">
      <c r="A12" t="s">
        <v>171</v>
      </c>
      <c r="B12" s="7" t="s">
        <v>55</v>
      </c>
      <c r="C12" s="7" t="s">
        <v>297</v>
      </c>
      <c r="D12">
        <v>76.900000000000006</v>
      </c>
      <c r="E12" s="25">
        <v>151</v>
      </c>
      <c r="F12" s="25">
        <v>77.7</v>
      </c>
      <c r="G12" s="7">
        <v>107</v>
      </c>
      <c r="H12">
        <v>204</v>
      </c>
      <c r="I12">
        <v>4900000</v>
      </c>
      <c r="J12" s="25">
        <v>37.6</v>
      </c>
      <c r="K12" s="25">
        <v>26.4</v>
      </c>
      <c r="L12">
        <f t="shared" si="0"/>
        <v>11.200000000000003</v>
      </c>
      <c r="M12">
        <v>92.7</v>
      </c>
      <c r="N12">
        <v>71.5</v>
      </c>
      <c r="O12" s="25">
        <v>110.9</v>
      </c>
      <c r="P12" s="25">
        <v>2</v>
      </c>
      <c r="Q12">
        <v>2.2000000000000002</v>
      </c>
      <c r="R12" s="25">
        <f t="shared" si="1"/>
        <v>-0.10000000000000009</v>
      </c>
      <c r="S12" s="25">
        <f t="shared" si="2"/>
        <v>-0.20000000000000018</v>
      </c>
      <c r="T12" s="25">
        <v>0.59</v>
      </c>
      <c r="U12">
        <f>AVERAGE(27.5,23.6)</f>
        <v>25.55</v>
      </c>
      <c r="V12" s="25">
        <v>20.100000000000001</v>
      </c>
      <c r="W12" s="25">
        <v>14.5</v>
      </c>
      <c r="X12" s="5" t="s">
        <v>295</v>
      </c>
      <c r="AA12">
        <f t="shared" si="3"/>
        <v>18.200000000000003</v>
      </c>
      <c r="AB12" s="7" t="s">
        <v>288</v>
      </c>
    </row>
    <row r="13" spans="1:28" x14ac:dyDescent="0.35">
      <c r="A13" t="s">
        <v>171</v>
      </c>
      <c r="B13" s="7" t="s">
        <v>298</v>
      </c>
      <c r="C13" s="7" t="s">
        <v>299</v>
      </c>
      <c r="D13" s="7">
        <v>60.2</v>
      </c>
      <c r="E13" s="25">
        <v>156</v>
      </c>
      <c r="F13" s="32">
        <v>69.099999999999994</v>
      </c>
      <c r="G13">
        <v>113</v>
      </c>
      <c r="H13">
        <v>179</v>
      </c>
      <c r="I13" s="24">
        <v>2400000</v>
      </c>
      <c r="J13" s="25">
        <v>38.700000000000003</v>
      </c>
      <c r="K13" s="25">
        <v>26.7</v>
      </c>
      <c r="L13">
        <f t="shared" si="0"/>
        <v>12.000000000000004</v>
      </c>
      <c r="M13" s="25">
        <v>91.9</v>
      </c>
      <c r="N13" s="25">
        <v>71.900000000000006</v>
      </c>
      <c r="O13" s="25">
        <v>110.5</v>
      </c>
      <c r="P13" s="25">
        <v>1.7</v>
      </c>
      <c r="Q13" s="25">
        <v>1.3</v>
      </c>
      <c r="R13" s="25">
        <f t="shared" si="1"/>
        <v>0.23529411764705876</v>
      </c>
      <c r="S13" s="25">
        <f t="shared" si="2"/>
        <v>0.39999999999999991</v>
      </c>
      <c r="T13" s="25">
        <v>0.67</v>
      </c>
      <c r="U13">
        <f>AVERAGE(31.1,23.5)</f>
        <v>27.3</v>
      </c>
      <c r="V13" s="25">
        <v>22.8</v>
      </c>
      <c r="W13" s="25">
        <v>14</v>
      </c>
      <c r="X13" s="5" t="s">
        <v>300</v>
      </c>
      <c r="AA13">
        <f t="shared" si="3"/>
        <v>18.599999999999994</v>
      </c>
      <c r="AB13" s="7" t="s">
        <v>301</v>
      </c>
    </row>
    <row r="14" spans="1:28" x14ac:dyDescent="0.35">
      <c r="A14" t="s">
        <v>171</v>
      </c>
      <c r="B14" s="7" t="s">
        <v>22</v>
      </c>
      <c r="C14" s="7" t="s">
        <v>302</v>
      </c>
      <c r="D14">
        <v>72.8</v>
      </c>
      <c r="E14" s="32">
        <v>137</v>
      </c>
      <c r="F14" s="25">
        <v>75.8</v>
      </c>
      <c r="G14" s="7">
        <v>107</v>
      </c>
      <c r="H14">
        <v>215</v>
      </c>
      <c r="I14">
        <v>3800000</v>
      </c>
      <c r="J14" s="25">
        <v>36.5</v>
      </c>
      <c r="K14" s="25">
        <v>27.8</v>
      </c>
      <c r="L14">
        <f t="shared" si="0"/>
        <v>8.6999999999999993</v>
      </c>
      <c r="M14" s="25">
        <v>95.2</v>
      </c>
      <c r="N14" s="25">
        <v>69.3</v>
      </c>
      <c r="O14" s="25">
        <v>120.1</v>
      </c>
      <c r="P14" s="25">
        <v>1.6</v>
      </c>
      <c r="Q14" s="25">
        <v>0.6</v>
      </c>
      <c r="R14" s="25">
        <f t="shared" si="1"/>
        <v>0.625</v>
      </c>
      <c r="S14" s="25">
        <f t="shared" si="2"/>
        <v>1</v>
      </c>
      <c r="T14" s="25">
        <v>0.68</v>
      </c>
      <c r="U14">
        <f>AVERAGE(33.3,29.8)</f>
        <v>31.549999999999997</v>
      </c>
      <c r="V14" s="32">
        <v>26.1</v>
      </c>
      <c r="W14" s="25">
        <v>15.8</v>
      </c>
      <c r="X14" s="5" t="s">
        <v>304</v>
      </c>
      <c r="AA14">
        <f t="shared" si="3"/>
        <v>24.899999999999991</v>
      </c>
      <c r="AB14" s="7" t="s">
        <v>289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87E4-297B-4A63-B5A1-74C49D542E6A}">
  <dimension ref="A1:G9"/>
  <sheetViews>
    <sheetView workbookViewId="0">
      <selection activeCell="A3" sqref="A3"/>
    </sheetView>
  </sheetViews>
  <sheetFormatPr defaultRowHeight="14.5" x14ac:dyDescent="0.35"/>
  <cols>
    <col min="1" max="1" width="17.26953125" customWidth="1"/>
  </cols>
  <sheetData>
    <row r="1" spans="1:7" x14ac:dyDescent="0.35">
      <c r="A1" s="4" t="s">
        <v>49</v>
      </c>
      <c r="B1" s="4" t="s">
        <v>2</v>
      </c>
      <c r="C1" s="4" t="s">
        <v>5</v>
      </c>
      <c r="D1" s="4" t="s">
        <v>3</v>
      </c>
      <c r="E1" s="4" t="s">
        <v>4</v>
      </c>
      <c r="F1" s="4" t="s">
        <v>6</v>
      </c>
      <c r="G1" s="4" t="s">
        <v>154</v>
      </c>
    </row>
    <row r="2" spans="1:7" x14ac:dyDescent="0.35">
      <c r="A2" t="s">
        <v>68</v>
      </c>
      <c r="B2">
        <v>65.400000000000006</v>
      </c>
      <c r="C2">
        <v>135</v>
      </c>
      <c r="D2">
        <v>67</v>
      </c>
      <c r="E2">
        <v>114</v>
      </c>
      <c r="F2">
        <v>232</v>
      </c>
      <c r="G2">
        <v>2600000</v>
      </c>
    </row>
    <row r="3" spans="1:7" x14ac:dyDescent="0.35">
      <c r="A3" t="s">
        <v>17</v>
      </c>
      <c r="B3">
        <v>75.900000000000006</v>
      </c>
      <c r="C3">
        <v>160</v>
      </c>
      <c r="D3">
        <v>78.400000000000006</v>
      </c>
      <c r="E3">
        <v>108</v>
      </c>
      <c r="F3">
        <v>208</v>
      </c>
      <c r="G3">
        <v>4800000</v>
      </c>
    </row>
    <row r="4" spans="1:7" x14ac:dyDescent="0.35">
      <c r="A4" t="s">
        <v>93</v>
      </c>
      <c r="B4">
        <v>60.2</v>
      </c>
      <c r="C4">
        <v>146</v>
      </c>
      <c r="D4">
        <v>60.3</v>
      </c>
      <c r="E4">
        <v>133</v>
      </c>
      <c r="F4">
        <v>303</v>
      </c>
      <c r="G4">
        <v>3000000</v>
      </c>
    </row>
    <row r="5" spans="1:7" x14ac:dyDescent="0.35">
      <c r="A5" t="s">
        <v>155</v>
      </c>
      <c r="B5">
        <v>52.3</v>
      </c>
      <c r="C5">
        <v>147</v>
      </c>
      <c r="D5">
        <v>57.2</v>
      </c>
      <c r="E5">
        <v>122</v>
      </c>
      <c r="F5">
        <v>275</v>
      </c>
      <c r="G5">
        <v>2800000</v>
      </c>
    </row>
    <row r="6" spans="1:7" x14ac:dyDescent="0.35">
      <c r="A6" t="s">
        <v>110</v>
      </c>
      <c r="B6">
        <v>58.1</v>
      </c>
      <c r="C6">
        <v>133</v>
      </c>
      <c r="D6">
        <v>59.5</v>
      </c>
      <c r="E6">
        <v>121</v>
      </c>
      <c r="F6">
        <v>282</v>
      </c>
      <c r="G6">
        <v>2800000</v>
      </c>
    </row>
    <row r="7" spans="1:7" x14ac:dyDescent="0.35">
      <c r="A7" t="s">
        <v>132</v>
      </c>
      <c r="B7">
        <v>56.4</v>
      </c>
      <c r="C7">
        <v>134</v>
      </c>
      <c r="D7">
        <v>58.8</v>
      </c>
      <c r="E7">
        <v>114</v>
      </c>
      <c r="F7">
        <v>231</v>
      </c>
      <c r="G7">
        <v>2200000</v>
      </c>
    </row>
    <row r="8" spans="1:7" x14ac:dyDescent="0.35">
      <c r="A8" t="s">
        <v>83</v>
      </c>
      <c r="B8">
        <v>61.4</v>
      </c>
      <c r="C8">
        <v>149</v>
      </c>
      <c r="D8">
        <v>68.5</v>
      </c>
      <c r="E8">
        <v>133</v>
      </c>
      <c r="F8">
        <v>247</v>
      </c>
      <c r="G8">
        <v>3300000</v>
      </c>
    </row>
    <row r="9" spans="1:7" x14ac:dyDescent="0.35">
      <c r="A9" t="s">
        <v>63</v>
      </c>
      <c r="B9">
        <v>66.2</v>
      </c>
      <c r="C9">
        <v>136</v>
      </c>
      <c r="D9">
        <v>68.5</v>
      </c>
      <c r="E9">
        <v>139</v>
      </c>
      <c r="F9">
        <v>315</v>
      </c>
      <c r="G9">
        <v>4000000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0D13-0A4F-414C-A659-212DEC5A65A6}">
  <dimension ref="A1:G11"/>
  <sheetViews>
    <sheetView workbookViewId="0">
      <selection activeCell="B10" sqref="B10:F10"/>
    </sheetView>
  </sheetViews>
  <sheetFormatPr defaultRowHeight="14.5" x14ac:dyDescent="0.35"/>
  <cols>
    <col min="1" max="1" width="20.1796875" customWidth="1"/>
  </cols>
  <sheetData>
    <row r="1" spans="1:7" x14ac:dyDescent="0.35">
      <c r="A1" s="4" t="s">
        <v>49</v>
      </c>
      <c r="B1" s="4" t="s">
        <v>2</v>
      </c>
      <c r="C1" s="4" t="s">
        <v>5</v>
      </c>
      <c r="D1" s="4" t="s">
        <v>3</v>
      </c>
      <c r="E1" s="4" t="s">
        <v>4</v>
      </c>
      <c r="F1" s="4" t="s">
        <v>6</v>
      </c>
      <c r="G1" s="4" t="s">
        <v>154</v>
      </c>
    </row>
    <row r="2" spans="1:7" x14ac:dyDescent="0.35">
      <c r="A2" s="11" t="s">
        <v>13</v>
      </c>
      <c r="B2">
        <v>77.099999999999994</v>
      </c>
      <c r="C2">
        <v>147</v>
      </c>
      <c r="D2">
        <v>76.3</v>
      </c>
      <c r="E2">
        <v>124</v>
      </c>
      <c r="F2">
        <v>204</v>
      </c>
      <c r="G2">
        <v>3200000</v>
      </c>
    </row>
    <row r="3" spans="1:7" x14ac:dyDescent="0.35">
      <c r="A3" t="s">
        <v>92</v>
      </c>
      <c r="B3">
        <v>60.7</v>
      </c>
      <c r="C3">
        <v>132</v>
      </c>
      <c r="D3">
        <v>63.4</v>
      </c>
      <c r="E3">
        <v>100</v>
      </c>
      <c r="F3">
        <v>268</v>
      </c>
      <c r="G3">
        <v>2400000</v>
      </c>
    </row>
    <row r="4" spans="1:7" x14ac:dyDescent="0.35">
      <c r="A4" t="s">
        <v>152</v>
      </c>
      <c r="B4">
        <v>55.5</v>
      </c>
      <c r="C4">
        <v>148</v>
      </c>
      <c r="D4">
        <v>57.3</v>
      </c>
      <c r="E4">
        <v>139</v>
      </c>
      <c r="F4">
        <v>291</v>
      </c>
      <c r="G4">
        <v>2700000</v>
      </c>
    </row>
    <row r="5" spans="1:7" x14ac:dyDescent="0.35">
      <c r="A5" t="s">
        <v>95</v>
      </c>
      <c r="B5">
        <v>59.8</v>
      </c>
      <c r="C5">
        <v>133</v>
      </c>
      <c r="D5">
        <v>63.5</v>
      </c>
      <c r="E5">
        <v>108</v>
      </c>
      <c r="F5">
        <v>274</v>
      </c>
      <c r="G5">
        <v>2500000</v>
      </c>
    </row>
    <row r="6" spans="1:7" x14ac:dyDescent="0.35">
      <c r="A6" t="s">
        <v>137</v>
      </c>
      <c r="B6">
        <v>56.2</v>
      </c>
      <c r="C6">
        <v>127</v>
      </c>
      <c r="D6">
        <v>58.2</v>
      </c>
      <c r="E6">
        <v>99</v>
      </c>
      <c r="F6">
        <v>264</v>
      </c>
      <c r="G6">
        <v>2100000</v>
      </c>
    </row>
    <row r="7" spans="1:7" x14ac:dyDescent="0.35">
      <c r="A7" s="10" t="s">
        <v>157</v>
      </c>
      <c r="B7" s="10">
        <v>80.400000000000006</v>
      </c>
      <c r="C7">
        <v>148</v>
      </c>
      <c r="D7" s="10">
        <v>82.6</v>
      </c>
      <c r="E7">
        <v>124</v>
      </c>
      <c r="F7">
        <v>173</v>
      </c>
      <c r="G7">
        <v>4000000</v>
      </c>
    </row>
    <row r="8" spans="1:7" x14ac:dyDescent="0.35">
      <c r="A8" t="s">
        <v>156</v>
      </c>
      <c r="B8">
        <v>60.5</v>
      </c>
      <c r="C8">
        <v>139</v>
      </c>
      <c r="D8">
        <v>63.6</v>
      </c>
      <c r="E8">
        <v>105</v>
      </c>
      <c r="F8">
        <v>291</v>
      </c>
      <c r="G8">
        <v>2300000</v>
      </c>
    </row>
    <row r="9" spans="1:7" x14ac:dyDescent="0.35">
      <c r="A9" s="11" t="s">
        <v>162</v>
      </c>
      <c r="B9">
        <v>67.5</v>
      </c>
      <c r="C9">
        <v>136</v>
      </c>
      <c r="D9">
        <v>74.2</v>
      </c>
      <c r="E9">
        <v>100</v>
      </c>
      <c r="F9">
        <v>224</v>
      </c>
      <c r="G9">
        <v>2100000</v>
      </c>
    </row>
    <row r="10" spans="1:7" x14ac:dyDescent="0.35">
      <c r="A10" s="11" t="s">
        <v>163</v>
      </c>
      <c r="B10">
        <v>50.1</v>
      </c>
      <c r="C10">
        <v>141</v>
      </c>
      <c r="D10">
        <v>54.6</v>
      </c>
      <c r="E10">
        <v>137</v>
      </c>
      <c r="F10">
        <v>269</v>
      </c>
      <c r="G10">
        <v>2700000</v>
      </c>
    </row>
    <row r="11" spans="1:7" x14ac:dyDescent="0.35">
      <c r="A11" t="s">
        <v>165</v>
      </c>
      <c r="B11">
        <v>65.2</v>
      </c>
      <c r="C11">
        <v>136</v>
      </c>
      <c r="D11">
        <v>73.599999999999994</v>
      </c>
      <c r="E11">
        <v>99</v>
      </c>
      <c r="F11">
        <v>261</v>
      </c>
      <c r="G11">
        <v>2300000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322D-FA94-4D86-A301-3550E167005E}">
  <dimension ref="A1:H56"/>
  <sheetViews>
    <sheetView topLeftCell="A29" zoomScale="90" zoomScaleNormal="90" workbookViewId="0">
      <selection activeCell="E45" sqref="E45"/>
    </sheetView>
  </sheetViews>
  <sheetFormatPr defaultRowHeight="14.5" x14ac:dyDescent="0.35"/>
  <cols>
    <col min="1" max="1" width="4.36328125" customWidth="1"/>
    <col min="2" max="2" width="13.08984375" customWidth="1"/>
    <col min="3" max="3" width="27.81640625" customWidth="1"/>
  </cols>
  <sheetData>
    <row r="1" spans="1:8" x14ac:dyDescent="0.35">
      <c r="A1" s="4" t="s">
        <v>153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6</v>
      </c>
    </row>
    <row r="2" spans="1:8" x14ac:dyDescent="0.35">
      <c r="A2">
        <v>76</v>
      </c>
      <c r="B2" t="s">
        <v>12</v>
      </c>
      <c r="C2" t="s">
        <v>95</v>
      </c>
      <c r="D2">
        <v>59.8</v>
      </c>
      <c r="E2">
        <v>133</v>
      </c>
      <c r="F2" s="1">
        <v>63.5</v>
      </c>
      <c r="G2">
        <v>108</v>
      </c>
      <c r="H2">
        <v>274</v>
      </c>
    </row>
    <row r="3" spans="1:8" x14ac:dyDescent="0.35">
      <c r="A3">
        <v>77</v>
      </c>
      <c r="B3" t="s">
        <v>22</v>
      </c>
      <c r="C3" t="s">
        <v>96</v>
      </c>
      <c r="D3">
        <v>59.8</v>
      </c>
      <c r="E3">
        <v>142</v>
      </c>
      <c r="F3" s="1">
        <v>62.5</v>
      </c>
      <c r="G3">
        <v>135</v>
      </c>
      <c r="H3">
        <v>315</v>
      </c>
    </row>
    <row r="4" spans="1:8" x14ac:dyDescent="0.35">
      <c r="A4">
        <v>78</v>
      </c>
      <c r="B4" t="s">
        <v>97</v>
      </c>
      <c r="C4" t="s">
        <v>98</v>
      </c>
      <c r="D4">
        <v>59.6</v>
      </c>
      <c r="E4">
        <v>130</v>
      </c>
      <c r="F4" s="1">
        <v>60.7</v>
      </c>
      <c r="G4">
        <v>113</v>
      </c>
      <c r="H4">
        <v>285</v>
      </c>
    </row>
    <row r="5" spans="1:8" x14ac:dyDescent="0.35">
      <c r="A5">
        <v>79</v>
      </c>
      <c r="B5" t="s">
        <v>22</v>
      </c>
      <c r="C5" t="s">
        <v>99</v>
      </c>
      <c r="D5">
        <v>59.4</v>
      </c>
      <c r="E5">
        <v>127</v>
      </c>
      <c r="F5" s="1">
        <v>63.5</v>
      </c>
      <c r="G5">
        <v>122</v>
      </c>
      <c r="H5">
        <v>275</v>
      </c>
    </row>
    <row r="6" spans="1:8" x14ac:dyDescent="0.35">
      <c r="A6">
        <v>80</v>
      </c>
      <c r="B6" t="s">
        <v>10</v>
      </c>
      <c r="C6" t="s">
        <v>100</v>
      </c>
      <c r="D6">
        <v>59.2</v>
      </c>
      <c r="E6">
        <v>132</v>
      </c>
      <c r="F6" s="1">
        <v>61.7</v>
      </c>
      <c r="G6">
        <v>124</v>
      </c>
      <c r="H6">
        <v>281</v>
      </c>
    </row>
    <row r="7" spans="1:8" x14ac:dyDescent="0.35">
      <c r="A7">
        <v>81</v>
      </c>
      <c r="B7" t="s">
        <v>55</v>
      </c>
      <c r="C7" t="s">
        <v>101</v>
      </c>
      <c r="D7">
        <v>58.9</v>
      </c>
      <c r="E7">
        <v>138</v>
      </c>
      <c r="F7">
        <v>58.9</v>
      </c>
      <c r="G7">
        <v>121</v>
      </c>
      <c r="H7">
        <v>305</v>
      </c>
    </row>
    <row r="8" spans="1:8" x14ac:dyDescent="0.35">
      <c r="A8">
        <v>82</v>
      </c>
      <c r="B8" t="s">
        <v>55</v>
      </c>
      <c r="C8" t="s">
        <v>102</v>
      </c>
      <c r="D8">
        <v>58.9</v>
      </c>
      <c r="E8">
        <v>130</v>
      </c>
      <c r="F8" s="1">
        <v>62.7</v>
      </c>
      <c r="G8">
        <v>96</v>
      </c>
      <c r="H8">
        <v>203</v>
      </c>
    </row>
    <row r="9" spans="1:8" x14ac:dyDescent="0.35">
      <c r="A9">
        <v>83</v>
      </c>
      <c r="B9" t="s">
        <v>10</v>
      </c>
      <c r="C9" t="s">
        <v>103</v>
      </c>
      <c r="D9">
        <v>58.6</v>
      </c>
      <c r="E9">
        <v>136</v>
      </c>
      <c r="F9" s="1">
        <v>62.8</v>
      </c>
      <c r="G9">
        <v>127</v>
      </c>
      <c r="H9">
        <v>276</v>
      </c>
    </row>
    <row r="10" spans="1:8" x14ac:dyDescent="0.35">
      <c r="A10">
        <v>84</v>
      </c>
      <c r="B10" t="s">
        <v>12</v>
      </c>
      <c r="C10" t="s">
        <v>104</v>
      </c>
      <c r="D10">
        <v>58.5</v>
      </c>
      <c r="E10">
        <v>130</v>
      </c>
      <c r="F10" s="1">
        <v>63.2</v>
      </c>
      <c r="G10">
        <v>94</v>
      </c>
      <c r="H10">
        <v>257</v>
      </c>
    </row>
    <row r="11" spans="1:8" x14ac:dyDescent="0.35">
      <c r="A11">
        <v>85</v>
      </c>
      <c r="B11" t="s">
        <v>106</v>
      </c>
      <c r="C11" t="s">
        <v>105</v>
      </c>
      <c r="D11">
        <v>58.5</v>
      </c>
      <c r="E11">
        <v>101</v>
      </c>
      <c r="F11" s="1">
        <v>62.6</v>
      </c>
      <c r="G11">
        <v>83</v>
      </c>
      <c r="H11">
        <v>237</v>
      </c>
    </row>
    <row r="12" spans="1:8" x14ac:dyDescent="0.35">
      <c r="A12">
        <v>86</v>
      </c>
      <c r="B12" t="s">
        <v>27</v>
      </c>
      <c r="C12" t="s">
        <v>107</v>
      </c>
      <c r="D12">
        <v>58.3</v>
      </c>
      <c r="E12">
        <v>134</v>
      </c>
      <c r="F12" s="1">
        <v>61</v>
      </c>
      <c r="G12">
        <v>124</v>
      </c>
      <c r="H12">
        <v>259</v>
      </c>
    </row>
    <row r="13" spans="1:8" x14ac:dyDescent="0.35">
      <c r="A13">
        <v>87</v>
      </c>
      <c r="B13" t="s">
        <v>10</v>
      </c>
      <c r="C13" t="s">
        <v>108</v>
      </c>
      <c r="D13">
        <v>58.2</v>
      </c>
      <c r="E13">
        <v>143</v>
      </c>
      <c r="F13" s="1">
        <v>62.5</v>
      </c>
      <c r="G13">
        <v>111</v>
      </c>
      <c r="H13">
        <v>269</v>
      </c>
    </row>
    <row r="14" spans="1:8" x14ac:dyDescent="0.35">
      <c r="A14">
        <v>88</v>
      </c>
      <c r="B14" t="s">
        <v>106</v>
      </c>
      <c r="C14" t="s">
        <v>109</v>
      </c>
      <c r="D14">
        <v>58.2</v>
      </c>
      <c r="E14">
        <v>110</v>
      </c>
      <c r="F14" s="1">
        <v>61.7</v>
      </c>
      <c r="G14">
        <v>109</v>
      </c>
      <c r="H14">
        <v>275</v>
      </c>
    </row>
    <row r="15" spans="1:8" x14ac:dyDescent="0.35">
      <c r="A15">
        <v>89</v>
      </c>
      <c r="B15" t="s">
        <v>10</v>
      </c>
      <c r="C15" t="s">
        <v>140</v>
      </c>
      <c r="D15">
        <v>58.2</v>
      </c>
      <c r="E15">
        <v>131</v>
      </c>
      <c r="F15" s="1">
        <v>61.3</v>
      </c>
      <c r="G15">
        <v>102</v>
      </c>
      <c r="H15">
        <v>257</v>
      </c>
    </row>
    <row r="16" spans="1:8" x14ac:dyDescent="0.35">
      <c r="A16">
        <v>90</v>
      </c>
      <c r="B16" t="s">
        <v>16</v>
      </c>
      <c r="C16" t="s">
        <v>110</v>
      </c>
      <c r="D16">
        <v>58.1</v>
      </c>
      <c r="E16">
        <v>133</v>
      </c>
      <c r="F16">
        <v>59.5</v>
      </c>
      <c r="G16">
        <v>121</v>
      </c>
      <c r="H16">
        <v>282</v>
      </c>
    </row>
    <row r="17" spans="1:8" x14ac:dyDescent="0.35">
      <c r="A17">
        <v>91</v>
      </c>
      <c r="B17" t="s">
        <v>10</v>
      </c>
      <c r="C17" t="s">
        <v>111</v>
      </c>
      <c r="D17">
        <v>58</v>
      </c>
      <c r="E17">
        <v>142</v>
      </c>
      <c r="F17">
        <v>59.4</v>
      </c>
      <c r="G17">
        <v>128</v>
      </c>
      <c r="H17">
        <v>285</v>
      </c>
    </row>
    <row r="18" spans="1:8" x14ac:dyDescent="0.35">
      <c r="A18">
        <v>92</v>
      </c>
      <c r="B18" t="s">
        <v>10</v>
      </c>
      <c r="C18" t="s">
        <v>112</v>
      </c>
      <c r="D18">
        <v>58</v>
      </c>
      <c r="E18">
        <v>148</v>
      </c>
      <c r="F18" s="1">
        <v>60.1</v>
      </c>
      <c r="G18">
        <v>121</v>
      </c>
      <c r="H18">
        <v>264</v>
      </c>
    </row>
    <row r="19" spans="1:8" x14ac:dyDescent="0.35">
      <c r="A19">
        <v>93</v>
      </c>
      <c r="B19" t="s">
        <v>10</v>
      </c>
      <c r="C19" t="s">
        <v>113</v>
      </c>
      <c r="D19">
        <v>57.9</v>
      </c>
      <c r="E19">
        <v>121</v>
      </c>
      <c r="F19" s="1">
        <v>62.7</v>
      </c>
      <c r="G19">
        <v>99</v>
      </c>
      <c r="H19">
        <v>251</v>
      </c>
    </row>
    <row r="20" spans="1:8" x14ac:dyDescent="0.35">
      <c r="A20">
        <v>94</v>
      </c>
      <c r="B20" t="s">
        <v>10</v>
      </c>
      <c r="C20" t="s">
        <v>114</v>
      </c>
      <c r="D20">
        <v>57.7</v>
      </c>
      <c r="E20">
        <v>111</v>
      </c>
      <c r="F20" s="1">
        <v>60.1</v>
      </c>
      <c r="G20">
        <v>85</v>
      </c>
      <c r="H20">
        <v>286</v>
      </c>
    </row>
    <row r="21" spans="1:8" x14ac:dyDescent="0.35">
      <c r="A21">
        <v>95</v>
      </c>
      <c r="B21" t="s">
        <v>32</v>
      </c>
      <c r="C21" t="s">
        <v>115</v>
      </c>
      <c r="D21">
        <v>57.7</v>
      </c>
      <c r="E21">
        <v>103</v>
      </c>
      <c r="F21">
        <v>59.5</v>
      </c>
      <c r="G21">
        <v>87</v>
      </c>
      <c r="H21">
        <v>286</v>
      </c>
    </row>
    <row r="22" spans="1:8" x14ac:dyDescent="0.35">
      <c r="A22">
        <v>96</v>
      </c>
      <c r="B22" t="s">
        <v>29</v>
      </c>
      <c r="C22" t="s">
        <v>116</v>
      </c>
      <c r="D22">
        <v>57.5</v>
      </c>
      <c r="E22">
        <v>118</v>
      </c>
      <c r="F22" s="1">
        <v>61.2</v>
      </c>
      <c r="G22">
        <v>72</v>
      </c>
      <c r="H22">
        <v>294</v>
      </c>
    </row>
    <row r="23" spans="1:8" x14ac:dyDescent="0.35">
      <c r="A23">
        <v>97</v>
      </c>
      <c r="B23" t="s">
        <v>22</v>
      </c>
      <c r="C23" t="s">
        <v>117</v>
      </c>
      <c r="D23">
        <v>57.2</v>
      </c>
      <c r="E23">
        <v>117</v>
      </c>
      <c r="F23" s="1">
        <v>60.8</v>
      </c>
      <c r="G23">
        <v>107</v>
      </c>
      <c r="H23">
        <v>194</v>
      </c>
    </row>
    <row r="24" spans="1:8" x14ac:dyDescent="0.35">
      <c r="A24">
        <v>98</v>
      </c>
      <c r="B24" t="s">
        <v>29</v>
      </c>
      <c r="C24" t="s">
        <v>118</v>
      </c>
      <c r="D24">
        <v>57.1</v>
      </c>
      <c r="E24">
        <v>126</v>
      </c>
      <c r="F24">
        <v>59.4</v>
      </c>
      <c r="G24">
        <v>98</v>
      </c>
      <c r="H24">
        <v>275</v>
      </c>
    </row>
    <row r="25" spans="1:8" x14ac:dyDescent="0.35">
      <c r="A25">
        <v>99</v>
      </c>
      <c r="B25" t="s">
        <v>10</v>
      </c>
      <c r="C25" t="s">
        <v>119</v>
      </c>
      <c r="D25">
        <v>57.1</v>
      </c>
      <c r="E25">
        <v>148</v>
      </c>
      <c r="F25" s="1">
        <v>60.4</v>
      </c>
      <c r="G25">
        <v>120</v>
      </c>
      <c r="H25">
        <v>301</v>
      </c>
    </row>
    <row r="26" spans="1:8" x14ac:dyDescent="0.35">
      <c r="A26">
        <v>100</v>
      </c>
      <c r="B26" t="s">
        <v>29</v>
      </c>
      <c r="C26" t="s">
        <v>120</v>
      </c>
      <c r="D26">
        <v>57</v>
      </c>
      <c r="E26">
        <v>135</v>
      </c>
      <c r="F26">
        <v>59.4</v>
      </c>
      <c r="G26">
        <v>108</v>
      </c>
      <c r="H26">
        <v>280</v>
      </c>
    </row>
    <row r="27" spans="1:8" x14ac:dyDescent="0.35">
      <c r="A27">
        <v>101</v>
      </c>
      <c r="B27" t="s">
        <v>55</v>
      </c>
      <c r="C27" t="s">
        <v>121</v>
      </c>
      <c r="D27">
        <v>57</v>
      </c>
      <c r="E27">
        <v>130</v>
      </c>
      <c r="F27" s="1">
        <v>62.4</v>
      </c>
      <c r="G27">
        <v>106</v>
      </c>
      <c r="H27">
        <v>262</v>
      </c>
    </row>
    <row r="28" spans="1:8" x14ac:dyDescent="0.35">
      <c r="A28">
        <v>102</v>
      </c>
      <c r="B28" t="s">
        <v>55</v>
      </c>
      <c r="C28" t="s">
        <v>122</v>
      </c>
      <c r="D28">
        <v>57</v>
      </c>
      <c r="E28">
        <v>133</v>
      </c>
      <c r="F28" s="1">
        <v>62.7</v>
      </c>
      <c r="G28">
        <v>92</v>
      </c>
      <c r="H28">
        <v>266</v>
      </c>
    </row>
    <row r="29" spans="1:8" x14ac:dyDescent="0.35">
      <c r="A29">
        <v>103</v>
      </c>
      <c r="B29" t="s">
        <v>0</v>
      </c>
      <c r="C29" t="s">
        <v>123</v>
      </c>
      <c r="D29">
        <v>57</v>
      </c>
      <c r="E29">
        <v>137</v>
      </c>
      <c r="F29" s="1">
        <v>64.5</v>
      </c>
      <c r="G29">
        <v>95</v>
      </c>
      <c r="H29">
        <v>282</v>
      </c>
    </row>
    <row r="30" spans="1:8" x14ac:dyDescent="0.35">
      <c r="A30">
        <v>104</v>
      </c>
      <c r="B30" t="s">
        <v>38</v>
      </c>
      <c r="C30" t="s">
        <v>124</v>
      </c>
      <c r="D30">
        <v>56.9</v>
      </c>
      <c r="E30">
        <v>163</v>
      </c>
      <c r="F30">
        <v>55.3</v>
      </c>
      <c r="G30">
        <v>127</v>
      </c>
      <c r="H30">
        <v>259</v>
      </c>
    </row>
    <row r="31" spans="1:8" x14ac:dyDescent="0.35">
      <c r="A31">
        <v>105</v>
      </c>
      <c r="B31" t="s">
        <v>0</v>
      </c>
      <c r="C31" t="s">
        <v>125</v>
      </c>
      <c r="D31">
        <v>56.9</v>
      </c>
      <c r="E31">
        <v>147</v>
      </c>
      <c r="F31">
        <v>58.9</v>
      </c>
      <c r="G31">
        <v>116</v>
      </c>
      <c r="H31">
        <v>298</v>
      </c>
    </row>
    <row r="32" spans="1:8" x14ac:dyDescent="0.35">
      <c r="A32">
        <v>106</v>
      </c>
      <c r="B32" t="s">
        <v>0</v>
      </c>
      <c r="C32" t="s">
        <v>126</v>
      </c>
      <c r="D32">
        <v>56.8</v>
      </c>
      <c r="E32">
        <v>112</v>
      </c>
      <c r="F32" s="1">
        <v>60.9</v>
      </c>
      <c r="G32">
        <v>88</v>
      </c>
      <c r="H32">
        <v>280</v>
      </c>
    </row>
    <row r="33" spans="1:8" x14ac:dyDescent="0.35">
      <c r="A33">
        <v>107</v>
      </c>
      <c r="B33" t="s">
        <v>0</v>
      </c>
      <c r="C33" t="s">
        <v>127</v>
      </c>
      <c r="D33">
        <v>56.7</v>
      </c>
      <c r="E33">
        <v>128</v>
      </c>
      <c r="F33">
        <v>54.9</v>
      </c>
      <c r="G33">
        <v>94</v>
      </c>
      <c r="H33">
        <v>310</v>
      </c>
    </row>
    <row r="34" spans="1:8" x14ac:dyDescent="0.35">
      <c r="A34">
        <v>108</v>
      </c>
      <c r="B34" t="s">
        <v>16</v>
      </c>
      <c r="C34" t="s">
        <v>128</v>
      </c>
      <c r="D34">
        <v>56.6</v>
      </c>
      <c r="E34">
        <v>118</v>
      </c>
      <c r="F34">
        <v>55</v>
      </c>
      <c r="G34">
        <v>97</v>
      </c>
      <c r="H34">
        <v>239</v>
      </c>
    </row>
    <row r="35" spans="1:8" x14ac:dyDescent="0.35">
      <c r="A35">
        <v>109</v>
      </c>
      <c r="B35" t="s">
        <v>27</v>
      </c>
      <c r="C35" t="s">
        <v>129</v>
      </c>
      <c r="D35">
        <v>56.5</v>
      </c>
      <c r="E35">
        <v>139</v>
      </c>
      <c r="F35">
        <v>55.1</v>
      </c>
      <c r="G35">
        <v>108</v>
      </c>
      <c r="H35">
        <v>211</v>
      </c>
    </row>
    <row r="36" spans="1:8" x14ac:dyDescent="0.35">
      <c r="A36">
        <v>110</v>
      </c>
      <c r="B36" t="s">
        <v>29</v>
      </c>
      <c r="C36" t="s">
        <v>130</v>
      </c>
      <c r="D36">
        <v>56.5</v>
      </c>
      <c r="E36">
        <v>137</v>
      </c>
      <c r="F36" s="1">
        <v>60.3</v>
      </c>
      <c r="G36">
        <v>115</v>
      </c>
      <c r="H36">
        <v>292</v>
      </c>
    </row>
    <row r="37" spans="1:8" x14ac:dyDescent="0.35">
      <c r="A37">
        <v>111</v>
      </c>
      <c r="B37" t="s">
        <v>38</v>
      </c>
      <c r="C37" t="s">
        <v>131</v>
      </c>
      <c r="D37">
        <v>56.5</v>
      </c>
      <c r="E37">
        <v>141</v>
      </c>
      <c r="F37">
        <v>56.5</v>
      </c>
      <c r="G37">
        <v>119</v>
      </c>
      <c r="H37">
        <v>271</v>
      </c>
    </row>
    <row r="38" spans="1:8" x14ac:dyDescent="0.35">
      <c r="A38">
        <v>112</v>
      </c>
      <c r="B38" t="s">
        <v>16</v>
      </c>
      <c r="C38" t="s">
        <v>132</v>
      </c>
      <c r="D38">
        <v>56.4</v>
      </c>
      <c r="E38">
        <v>134</v>
      </c>
      <c r="F38">
        <v>58.8</v>
      </c>
      <c r="G38">
        <v>114</v>
      </c>
      <c r="H38">
        <v>231</v>
      </c>
    </row>
    <row r="39" spans="1:8" x14ac:dyDescent="0.35">
      <c r="A39">
        <v>113</v>
      </c>
      <c r="B39" t="s">
        <v>10</v>
      </c>
      <c r="C39" t="s">
        <v>133</v>
      </c>
      <c r="D39">
        <v>56.4</v>
      </c>
      <c r="E39">
        <v>128</v>
      </c>
      <c r="F39" s="1">
        <v>60.1</v>
      </c>
      <c r="G39">
        <v>114</v>
      </c>
      <c r="H39">
        <v>286</v>
      </c>
    </row>
    <row r="40" spans="1:8" x14ac:dyDescent="0.35">
      <c r="A40">
        <v>114</v>
      </c>
      <c r="B40" t="s">
        <v>29</v>
      </c>
      <c r="C40" t="s">
        <v>134</v>
      </c>
      <c r="D40">
        <v>56.3</v>
      </c>
      <c r="E40">
        <v>123</v>
      </c>
      <c r="F40">
        <v>59.6</v>
      </c>
      <c r="G40">
        <v>95</v>
      </c>
      <c r="H40">
        <v>296</v>
      </c>
    </row>
    <row r="41" spans="1:8" x14ac:dyDescent="0.35">
      <c r="A41">
        <v>115</v>
      </c>
      <c r="B41" t="s">
        <v>29</v>
      </c>
      <c r="C41" t="s">
        <v>135</v>
      </c>
      <c r="D41">
        <v>56.3</v>
      </c>
      <c r="E41">
        <v>139</v>
      </c>
      <c r="F41" s="1">
        <v>60.8</v>
      </c>
      <c r="G41">
        <v>84</v>
      </c>
      <c r="H41">
        <v>237</v>
      </c>
    </row>
    <row r="42" spans="1:8" x14ac:dyDescent="0.35">
      <c r="A42">
        <v>116</v>
      </c>
      <c r="B42" t="s">
        <v>29</v>
      </c>
      <c r="C42" t="s">
        <v>136</v>
      </c>
      <c r="D42">
        <v>56.3</v>
      </c>
      <c r="E42">
        <v>125</v>
      </c>
      <c r="F42">
        <v>55.8</v>
      </c>
      <c r="G42">
        <v>106</v>
      </c>
      <c r="H42">
        <v>245</v>
      </c>
    </row>
    <row r="43" spans="1:8" x14ac:dyDescent="0.35">
      <c r="A43">
        <v>117</v>
      </c>
      <c r="B43" t="s">
        <v>12</v>
      </c>
      <c r="C43" t="s">
        <v>137</v>
      </c>
      <c r="D43">
        <v>56.2</v>
      </c>
      <c r="E43">
        <v>127</v>
      </c>
      <c r="F43">
        <v>58.2</v>
      </c>
      <c r="G43">
        <v>99</v>
      </c>
      <c r="H43">
        <v>264</v>
      </c>
    </row>
    <row r="44" spans="1:8" x14ac:dyDescent="0.35">
      <c r="A44">
        <v>118</v>
      </c>
      <c r="B44" t="s">
        <v>55</v>
      </c>
      <c r="C44" t="s">
        <v>138</v>
      </c>
      <c r="D44">
        <v>56.2</v>
      </c>
      <c r="E44">
        <v>137</v>
      </c>
      <c r="F44">
        <v>58.4</v>
      </c>
      <c r="G44">
        <v>113</v>
      </c>
      <c r="H44">
        <v>220</v>
      </c>
    </row>
    <row r="45" spans="1:8" x14ac:dyDescent="0.35">
      <c r="A45">
        <v>119</v>
      </c>
      <c r="B45" t="s">
        <v>10</v>
      </c>
      <c r="C45" t="s">
        <v>139</v>
      </c>
      <c r="D45">
        <v>56.2</v>
      </c>
      <c r="E45">
        <v>118</v>
      </c>
      <c r="F45" s="1">
        <v>62.1</v>
      </c>
      <c r="G45">
        <v>97</v>
      </c>
      <c r="H45">
        <v>286</v>
      </c>
    </row>
    <row r="46" spans="1:8" x14ac:dyDescent="0.35">
      <c r="A46">
        <v>120</v>
      </c>
      <c r="B46" t="s">
        <v>22</v>
      </c>
      <c r="C46" t="s">
        <v>141</v>
      </c>
      <c r="D46">
        <v>56.1</v>
      </c>
      <c r="E46">
        <v>121</v>
      </c>
      <c r="F46" s="1">
        <v>62.8</v>
      </c>
      <c r="G46">
        <v>112</v>
      </c>
      <c r="H46">
        <v>194</v>
      </c>
    </row>
    <row r="47" spans="1:8" x14ac:dyDescent="0.35">
      <c r="A47">
        <v>121</v>
      </c>
      <c r="B47" t="s">
        <v>7</v>
      </c>
      <c r="C47" t="s">
        <v>142</v>
      </c>
      <c r="D47">
        <v>56.1</v>
      </c>
      <c r="E47">
        <v>136</v>
      </c>
      <c r="F47" s="1">
        <v>64.3</v>
      </c>
      <c r="G47">
        <v>107</v>
      </c>
      <c r="H47">
        <v>245</v>
      </c>
    </row>
    <row r="48" spans="1:8" x14ac:dyDescent="0.35">
      <c r="A48">
        <v>122</v>
      </c>
      <c r="B48" t="s">
        <v>0</v>
      </c>
      <c r="C48" t="s">
        <v>143</v>
      </c>
      <c r="D48">
        <v>56</v>
      </c>
      <c r="E48">
        <v>129</v>
      </c>
      <c r="F48">
        <v>58.5</v>
      </c>
      <c r="G48">
        <v>89</v>
      </c>
      <c r="H48">
        <v>315</v>
      </c>
    </row>
    <row r="49" spans="1:8" x14ac:dyDescent="0.35">
      <c r="A49">
        <v>123</v>
      </c>
      <c r="B49" t="s">
        <v>29</v>
      </c>
      <c r="C49" t="s">
        <v>144</v>
      </c>
      <c r="D49">
        <v>56</v>
      </c>
      <c r="E49">
        <v>113</v>
      </c>
      <c r="F49">
        <v>56.7</v>
      </c>
      <c r="G49">
        <v>102</v>
      </c>
      <c r="H49">
        <v>264</v>
      </c>
    </row>
    <row r="50" spans="1:8" x14ac:dyDescent="0.35">
      <c r="A50">
        <v>124</v>
      </c>
      <c r="B50" t="s">
        <v>27</v>
      </c>
      <c r="C50" t="s">
        <v>145</v>
      </c>
      <c r="D50">
        <v>56</v>
      </c>
      <c r="E50">
        <v>120</v>
      </c>
      <c r="F50">
        <v>54.1</v>
      </c>
      <c r="G50">
        <v>118</v>
      </c>
      <c r="H50">
        <v>322</v>
      </c>
    </row>
    <row r="51" spans="1:8" x14ac:dyDescent="0.35">
      <c r="A51">
        <v>125</v>
      </c>
      <c r="B51" t="s">
        <v>27</v>
      </c>
      <c r="C51" t="s">
        <v>146</v>
      </c>
      <c r="D51">
        <v>55.9</v>
      </c>
      <c r="E51">
        <v>143</v>
      </c>
      <c r="F51">
        <v>59.4</v>
      </c>
      <c r="G51">
        <v>128</v>
      </c>
      <c r="H51">
        <v>242</v>
      </c>
    </row>
    <row r="52" spans="1:8" x14ac:dyDescent="0.35">
      <c r="A52">
        <v>126</v>
      </c>
      <c r="B52" t="s">
        <v>10</v>
      </c>
      <c r="C52" t="s">
        <v>147</v>
      </c>
      <c r="D52">
        <v>55.6</v>
      </c>
      <c r="E52">
        <v>113</v>
      </c>
      <c r="F52">
        <v>57.5</v>
      </c>
      <c r="G52">
        <v>98</v>
      </c>
      <c r="H52">
        <v>238</v>
      </c>
    </row>
    <row r="53" spans="1:8" x14ac:dyDescent="0.35">
      <c r="A53">
        <v>127</v>
      </c>
      <c r="B53" s="2" t="s">
        <v>27</v>
      </c>
      <c r="C53" s="2" t="s">
        <v>148</v>
      </c>
      <c r="D53">
        <v>55.5</v>
      </c>
      <c r="E53">
        <v>144</v>
      </c>
      <c r="F53" s="1">
        <v>61.8</v>
      </c>
      <c r="G53">
        <v>122</v>
      </c>
      <c r="H53">
        <v>237</v>
      </c>
    </row>
    <row r="54" spans="1:8" x14ac:dyDescent="0.35">
      <c r="A54">
        <v>128</v>
      </c>
      <c r="B54" t="s">
        <v>149</v>
      </c>
      <c r="C54" t="s">
        <v>150</v>
      </c>
      <c r="D54">
        <v>55.5</v>
      </c>
      <c r="E54">
        <v>131</v>
      </c>
      <c r="F54">
        <v>56.9</v>
      </c>
      <c r="G54">
        <v>106</v>
      </c>
      <c r="H54">
        <v>285</v>
      </c>
    </row>
    <row r="55" spans="1:8" x14ac:dyDescent="0.35">
      <c r="A55">
        <v>129</v>
      </c>
      <c r="B55" t="s">
        <v>0</v>
      </c>
      <c r="C55" t="s">
        <v>151</v>
      </c>
      <c r="D55">
        <v>55.5</v>
      </c>
      <c r="E55">
        <v>125</v>
      </c>
      <c r="F55" s="1">
        <v>61.4</v>
      </c>
      <c r="G55">
        <v>92</v>
      </c>
      <c r="H55">
        <v>281</v>
      </c>
    </row>
    <row r="56" spans="1:8" x14ac:dyDescent="0.35">
      <c r="A56">
        <v>130</v>
      </c>
      <c r="B56" t="s">
        <v>12</v>
      </c>
      <c r="C56" t="s">
        <v>152</v>
      </c>
      <c r="D56">
        <v>55.5</v>
      </c>
      <c r="E56">
        <v>148</v>
      </c>
      <c r="F56">
        <v>57.3</v>
      </c>
      <c r="G56">
        <v>139</v>
      </c>
      <c r="H56">
        <v>291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AD0C-ABB1-4091-96F2-694E79F7BD30}">
  <dimension ref="A1:H49"/>
  <sheetViews>
    <sheetView zoomScale="90" zoomScaleNormal="90" workbookViewId="0">
      <selection activeCell="D47" sqref="D47:H47"/>
    </sheetView>
  </sheetViews>
  <sheetFormatPr defaultRowHeight="14.5" x14ac:dyDescent="0.35"/>
  <cols>
    <col min="1" max="1" width="4.36328125" customWidth="1"/>
    <col min="2" max="2" width="15.36328125" customWidth="1"/>
    <col min="3" max="3" width="26.6328125" customWidth="1"/>
  </cols>
  <sheetData>
    <row r="1" spans="1:8" x14ac:dyDescent="0.35">
      <c r="A1" s="4" t="s">
        <v>153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6</v>
      </c>
    </row>
    <row r="2" spans="1:8" x14ac:dyDescent="0.35">
      <c r="A2">
        <v>28</v>
      </c>
      <c r="B2" t="s">
        <v>7</v>
      </c>
      <c r="C2" t="s">
        <v>43</v>
      </c>
      <c r="D2">
        <v>69.5</v>
      </c>
      <c r="E2">
        <v>127</v>
      </c>
      <c r="F2">
        <v>68.099999999999994</v>
      </c>
      <c r="G2">
        <v>96</v>
      </c>
      <c r="H2">
        <v>257</v>
      </c>
    </row>
    <row r="3" spans="1:8" x14ac:dyDescent="0.35">
      <c r="A3">
        <v>29</v>
      </c>
      <c r="B3" t="s">
        <v>7</v>
      </c>
      <c r="C3" t="s">
        <v>42</v>
      </c>
      <c r="D3">
        <v>69.5</v>
      </c>
      <c r="E3">
        <v>108</v>
      </c>
      <c r="F3">
        <v>68.599999999999994</v>
      </c>
      <c r="G3">
        <v>52</v>
      </c>
      <c r="H3">
        <v>305</v>
      </c>
    </row>
    <row r="4" spans="1:8" x14ac:dyDescent="0.35">
      <c r="A4">
        <v>30</v>
      </c>
      <c r="B4" t="s">
        <v>22</v>
      </c>
      <c r="C4" t="s">
        <v>44</v>
      </c>
      <c r="D4">
        <v>69</v>
      </c>
      <c r="E4">
        <v>145</v>
      </c>
      <c r="F4" s="1">
        <v>74.5</v>
      </c>
      <c r="G4">
        <v>122</v>
      </c>
      <c r="H4">
        <v>203</v>
      </c>
    </row>
    <row r="5" spans="1:8" x14ac:dyDescent="0.35">
      <c r="A5">
        <v>31</v>
      </c>
      <c r="B5" t="s">
        <v>22</v>
      </c>
      <c r="C5" t="s">
        <v>45</v>
      </c>
      <c r="D5">
        <v>68.8</v>
      </c>
      <c r="E5">
        <v>138</v>
      </c>
      <c r="F5" s="1">
        <v>76.3</v>
      </c>
      <c r="G5">
        <v>112</v>
      </c>
      <c r="H5">
        <v>285</v>
      </c>
    </row>
    <row r="6" spans="1:8" x14ac:dyDescent="0.35">
      <c r="A6">
        <v>32</v>
      </c>
      <c r="B6" t="s">
        <v>7</v>
      </c>
      <c r="C6" t="s">
        <v>46</v>
      </c>
      <c r="D6">
        <v>68.3</v>
      </c>
      <c r="E6">
        <v>123</v>
      </c>
      <c r="F6">
        <v>68.599999999999994</v>
      </c>
      <c r="G6">
        <v>91</v>
      </c>
      <c r="H6">
        <v>279</v>
      </c>
    </row>
    <row r="7" spans="1:8" x14ac:dyDescent="0.35">
      <c r="A7">
        <v>33</v>
      </c>
      <c r="B7" t="s">
        <v>0</v>
      </c>
      <c r="C7" t="s">
        <v>47</v>
      </c>
      <c r="D7">
        <v>68.099999999999994</v>
      </c>
      <c r="E7">
        <v>131</v>
      </c>
      <c r="F7">
        <v>69.599999999999994</v>
      </c>
      <c r="G7">
        <v>95</v>
      </c>
      <c r="H7">
        <v>284</v>
      </c>
    </row>
    <row r="8" spans="1:8" x14ac:dyDescent="0.35">
      <c r="A8">
        <v>34</v>
      </c>
      <c r="B8" t="s">
        <v>12</v>
      </c>
      <c r="C8" t="s">
        <v>50</v>
      </c>
      <c r="D8">
        <v>68</v>
      </c>
      <c r="E8">
        <v>151</v>
      </c>
      <c r="F8" s="1">
        <v>76.7</v>
      </c>
      <c r="G8">
        <v>116</v>
      </c>
      <c r="H8">
        <v>264</v>
      </c>
    </row>
    <row r="9" spans="1:8" x14ac:dyDescent="0.35">
      <c r="A9">
        <v>35</v>
      </c>
      <c r="B9" t="s">
        <v>51</v>
      </c>
      <c r="C9" t="s">
        <v>52</v>
      </c>
      <c r="D9">
        <v>68</v>
      </c>
      <c r="E9">
        <v>156</v>
      </c>
      <c r="F9">
        <v>66.5</v>
      </c>
      <c r="G9">
        <v>121</v>
      </c>
      <c r="H9">
        <v>248</v>
      </c>
    </row>
    <row r="10" spans="1:8" x14ac:dyDescent="0.35">
      <c r="A10">
        <v>36</v>
      </c>
      <c r="B10" t="s">
        <v>7</v>
      </c>
      <c r="C10" t="s">
        <v>53</v>
      </c>
      <c r="D10">
        <v>67.7</v>
      </c>
      <c r="E10">
        <v>124</v>
      </c>
      <c r="F10">
        <v>67.2</v>
      </c>
      <c r="G10">
        <v>102</v>
      </c>
      <c r="H10">
        <v>254</v>
      </c>
    </row>
    <row r="11" spans="1:8" x14ac:dyDescent="0.35">
      <c r="A11">
        <v>37</v>
      </c>
      <c r="B11" t="s">
        <v>0</v>
      </c>
      <c r="C11" t="s">
        <v>54</v>
      </c>
      <c r="D11">
        <v>67.3</v>
      </c>
      <c r="E11">
        <v>155</v>
      </c>
      <c r="F11">
        <v>68.3</v>
      </c>
      <c r="G11">
        <v>136</v>
      </c>
      <c r="H11">
        <v>308</v>
      </c>
    </row>
    <row r="12" spans="1:8" x14ac:dyDescent="0.35">
      <c r="A12">
        <v>38</v>
      </c>
      <c r="B12" t="s">
        <v>55</v>
      </c>
      <c r="C12" t="s">
        <v>56</v>
      </c>
      <c r="D12">
        <v>67.099999999999994</v>
      </c>
      <c r="E12">
        <v>148</v>
      </c>
      <c r="F12" s="1">
        <v>71.8</v>
      </c>
      <c r="G12">
        <v>102</v>
      </c>
      <c r="H12">
        <v>197</v>
      </c>
    </row>
    <row r="13" spans="1:8" x14ac:dyDescent="0.35">
      <c r="A13">
        <v>39</v>
      </c>
      <c r="B13" t="s">
        <v>7</v>
      </c>
      <c r="C13" t="s">
        <v>57</v>
      </c>
      <c r="D13">
        <v>67</v>
      </c>
      <c r="E13">
        <v>129</v>
      </c>
      <c r="F13">
        <v>65.400000000000006</v>
      </c>
      <c r="G13">
        <v>115</v>
      </c>
      <c r="H13">
        <v>281</v>
      </c>
    </row>
    <row r="14" spans="1:8" x14ac:dyDescent="0.35">
      <c r="A14">
        <v>40</v>
      </c>
      <c r="B14" t="s">
        <v>22</v>
      </c>
      <c r="C14" t="s">
        <v>58</v>
      </c>
      <c r="D14">
        <v>66.900000000000006</v>
      </c>
      <c r="E14">
        <v>124</v>
      </c>
      <c r="F14" s="1">
        <v>70.900000000000006</v>
      </c>
      <c r="G14">
        <v>107</v>
      </c>
      <c r="H14">
        <v>266</v>
      </c>
    </row>
    <row r="15" spans="1:8" x14ac:dyDescent="0.35">
      <c r="A15">
        <v>41</v>
      </c>
      <c r="B15" t="s">
        <v>7</v>
      </c>
      <c r="C15" t="s">
        <v>59</v>
      </c>
      <c r="D15">
        <v>66.900000000000006</v>
      </c>
      <c r="E15">
        <v>122</v>
      </c>
      <c r="F15">
        <v>65.599999999999994</v>
      </c>
      <c r="G15">
        <v>89</v>
      </c>
      <c r="H15">
        <v>320</v>
      </c>
    </row>
    <row r="16" spans="1:8" x14ac:dyDescent="0.35">
      <c r="A16">
        <v>42</v>
      </c>
      <c r="B16" t="s">
        <v>7</v>
      </c>
      <c r="C16" t="s">
        <v>60</v>
      </c>
      <c r="D16">
        <v>66.7</v>
      </c>
      <c r="E16">
        <v>122</v>
      </c>
      <c r="F16" s="1">
        <v>73</v>
      </c>
      <c r="G16">
        <v>78</v>
      </c>
      <c r="H16">
        <v>305</v>
      </c>
    </row>
    <row r="17" spans="1:8" x14ac:dyDescent="0.35">
      <c r="A17">
        <v>43</v>
      </c>
      <c r="B17" t="s">
        <v>61</v>
      </c>
      <c r="C17" t="s">
        <v>62</v>
      </c>
      <c r="D17">
        <v>66.2</v>
      </c>
      <c r="E17">
        <v>117</v>
      </c>
      <c r="F17">
        <v>66</v>
      </c>
      <c r="G17">
        <v>84</v>
      </c>
      <c r="H17">
        <v>190</v>
      </c>
    </row>
    <row r="18" spans="1:8" x14ac:dyDescent="0.35">
      <c r="A18">
        <v>44</v>
      </c>
      <c r="B18" t="s">
        <v>16</v>
      </c>
      <c r="C18" t="s">
        <v>63</v>
      </c>
      <c r="D18">
        <v>66.2</v>
      </c>
      <c r="E18">
        <v>136</v>
      </c>
      <c r="F18">
        <v>68.5</v>
      </c>
      <c r="G18">
        <v>139</v>
      </c>
      <c r="H18">
        <v>315</v>
      </c>
    </row>
    <row r="19" spans="1:8" x14ac:dyDescent="0.35">
      <c r="A19">
        <v>45</v>
      </c>
      <c r="B19" t="s">
        <v>10</v>
      </c>
      <c r="C19" t="s">
        <v>64</v>
      </c>
      <c r="D19">
        <v>66.099999999999994</v>
      </c>
      <c r="E19">
        <v>144</v>
      </c>
      <c r="F19">
        <v>64.5</v>
      </c>
      <c r="G19">
        <v>118</v>
      </c>
      <c r="H19">
        <v>278</v>
      </c>
    </row>
    <row r="20" spans="1:8" x14ac:dyDescent="0.35">
      <c r="A20">
        <v>46</v>
      </c>
      <c r="B20" t="s">
        <v>7</v>
      </c>
      <c r="C20" t="s">
        <v>65</v>
      </c>
      <c r="D20">
        <v>66</v>
      </c>
      <c r="E20">
        <v>126</v>
      </c>
      <c r="F20">
        <v>69.5</v>
      </c>
      <c r="G20">
        <v>112</v>
      </c>
      <c r="H20">
        <v>292</v>
      </c>
    </row>
    <row r="21" spans="1:8" x14ac:dyDescent="0.35">
      <c r="A21">
        <v>47</v>
      </c>
      <c r="B21" t="s">
        <v>7</v>
      </c>
      <c r="C21" t="s">
        <v>66</v>
      </c>
      <c r="D21">
        <v>66</v>
      </c>
      <c r="E21">
        <v>129</v>
      </c>
      <c r="F21" s="1">
        <v>70.099999999999994</v>
      </c>
      <c r="G21">
        <v>110</v>
      </c>
      <c r="H21">
        <v>266</v>
      </c>
    </row>
    <row r="22" spans="1:8" x14ac:dyDescent="0.35">
      <c r="A22">
        <v>48</v>
      </c>
      <c r="B22" t="s">
        <v>22</v>
      </c>
      <c r="C22" t="s">
        <v>67</v>
      </c>
      <c r="D22">
        <v>65.900000000000006</v>
      </c>
      <c r="E22">
        <v>127</v>
      </c>
      <c r="F22" s="1">
        <v>70.400000000000006</v>
      </c>
      <c r="G22">
        <v>115</v>
      </c>
      <c r="H22">
        <v>281</v>
      </c>
    </row>
    <row r="23" spans="1:8" x14ac:dyDescent="0.35">
      <c r="A23">
        <v>49</v>
      </c>
      <c r="B23" t="s">
        <v>16</v>
      </c>
      <c r="C23" t="s">
        <v>68</v>
      </c>
      <c r="D23">
        <v>65.400000000000006</v>
      </c>
      <c r="E23">
        <v>135</v>
      </c>
      <c r="F23">
        <v>67</v>
      </c>
      <c r="G23">
        <v>114</v>
      </c>
      <c r="H23">
        <v>232</v>
      </c>
    </row>
    <row r="24" spans="1:8" x14ac:dyDescent="0.35">
      <c r="A24">
        <v>50</v>
      </c>
      <c r="B24" t="s">
        <v>27</v>
      </c>
      <c r="C24" t="s">
        <v>69</v>
      </c>
      <c r="D24">
        <v>65.400000000000006</v>
      </c>
      <c r="E24">
        <v>130</v>
      </c>
      <c r="F24">
        <v>65.5</v>
      </c>
      <c r="G24">
        <v>138</v>
      </c>
      <c r="H24">
        <v>252</v>
      </c>
    </row>
    <row r="25" spans="1:8" x14ac:dyDescent="0.35">
      <c r="A25">
        <v>51</v>
      </c>
      <c r="B25" t="s">
        <v>27</v>
      </c>
      <c r="C25" t="s">
        <v>70</v>
      </c>
      <c r="D25">
        <v>65.099999999999994</v>
      </c>
      <c r="E25">
        <v>137</v>
      </c>
      <c r="F25">
        <v>64.3</v>
      </c>
      <c r="G25">
        <v>134</v>
      </c>
      <c r="H25">
        <v>244</v>
      </c>
    </row>
    <row r="26" spans="1:8" x14ac:dyDescent="0.35">
      <c r="A26">
        <v>52</v>
      </c>
      <c r="B26" t="s">
        <v>16</v>
      </c>
      <c r="C26" t="s">
        <v>71</v>
      </c>
      <c r="D26">
        <v>64.5</v>
      </c>
      <c r="E26">
        <v>139</v>
      </c>
      <c r="F26">
        <v>64.5</v>
      </c>
      <c r="G26">
        <v>107</v>
      </c>
      <c r="H26">
        <v>225</v>
      </c>
    </row>
    <row r="27" spans="1:8" x14ac:dyDescent="0.35">
      <c r="A27">
        <v>53</v>
      </c>
      <c r="B27" t="s">
        <v>0</v>
      </c>
      <c r="C27" t="s">
        <v>72</v>
      </c>
      <c r="D27">
        <v>64.400000000000006</v>
      </c>
      <c r="E27">
        <v>125</v>
      </c>
      <c r="F27" s="1">
        <v>70.8</v>
      </c>
      <c r="G27">
        <v>79</v>
      </c>
      <c r="H27">
        <v>244</v>
      </c>
    </row>
    <row r="28" spans="1:8" x14ac:dyDescent="0.35">
      <c r="A28">
        <v>54</v>
      </c>
      <c r="B28" t="s">
        <v>7</v>
      </c>
      <c r="C28" t="s">
        <v>73</v>
      </c>
      <c r="D28">
        <v>64</v>
      </c>
      <c r="E28">
        <v>98</v>
      </c>
      <c r="F28">
        <v>63.8</v>
      </c>
      <c r="G28">
        <v>78</v>
      </c>
      <c r="H28">
        <v>335</v>
      </c>
    </row>
    <row r="29" spans="1:8" x14ac:dyDescent="0.35">
      <c r="A29">
        <v>55</v>
      </c>
      <c r="B29" t="s">
        <v>27</v>
      </c>
      <c r="C29" t="s">
        <v>74</v>
      </c>
      <c r="D29">
        <v>63.6</v>
      </c>
      <c r="E29">
        <v>141</v>
      </c>
      <c r="F29">
        <v>66.5</v>
      </c>
      <c r="G29">
        <v>134</v>
      </c>
      <c r="H29">
        <v>254</v>
      </c>
    </row>
    <row r="30" spans="1:8" x14ac:dyDescent="0.35">
      <c r="A30">
        <v>56</v>
      </c>
      <c r="B30" t="s">
        <v>7</v>
      </c>
      <c r="C30" t="s">
        <v>75</v>
      </c>
      <c r="D30">
        <v>63.5</v>
      </c>
      <c r="E30">
        <v>128</v>
      </c>
      <c r="F30">
        <v>67.2</v>
      </c>
      <c r="G30">
        <v>107</v>
      </c>
      <c r="H30">
        <v>261</v>
      </c>
    </row>
    <row r="31" spans="1:8" x14ac:dyDescent="0.35">
      <c r="A31">
        <v>57</v>
      </c>
      <c r="B31" t="s">
        <v>7</v>
      </c>
      <c r="C31" t="s">
        <v>76</v>
      </c>
      <c r="D31">
        <v>63.4</v>
      </c>
      <c r="E31">
        <v>127</v>
      </c>
      <c r="F31">
        <v>69.7</v>
      </c>
      <c r="G31">
        <v>108</v>
      </c>
      <c r="H31">
        <v>254</v>
      </c>
    </row>
    <row r="32" spans="1:8" x14ac:dyDescent="0.35">
      <c r="A32">
        <v>58</v>
      </c>
      <c r="B32" s="2" t="s">
        <v>10</v>
      </c>
      <c r="C32" s="2" t="s">
        <v>77</v>
      </c>
      <c r="D32">
        <v>63.1</v>
      </c>
      <c r="E32">
        <v>139</v>
      </c>
      <c r="F32">
        <v>66.8</v>
      </c>
      <c r="G32">
        <v>97</v>
      </c>
      <c r="H32">
        <v>213</v>
      </c>
    </row>
    <row r="33" spans="1:8" x14ac:dyDescent="0.35">
      <c r="A33">
        <v>59</v>
      </c>
      <c r="B33" t="s">
        <v>32</v>
      </c>
      <c r="C33" t="s">
        <v>78</v>
      </c>
      <c r="D33">
        <v>62.6</v>
      </c>
      <c r="E33">
        <v>136</v>
      </c>
      <c r="F33">
        <v>62.3</v>
      </c>
      <c r="G33">
        <v>122</v>
      </c>
      <c r="H33">
        <v>315</v>
      </c>
    </row>
    <row r="34" spans="1:8" x14ac:dyDescent="0.35">
      <c r="A34">
        <v>60</v>
      </c>
      <c r="B34" t="s">
        <v>38</v>
      </c>
      <c r="C34" t="s">
        <v>79</v>
      </c>
      <c r="D34">
        <v>62.5</v>
      </c>
      <c r="E34">
        <v>159</v>
      </c>
      <c r="F34">
        <v>66.8</v>
      </c>
      <c r="G34">
        <v>116</v>
      </c>
      <c r="H34">
        <v>209</v>
      </c>
    </row>
    <row r="35" spans="1:8" x14ac:dyDescent="0.35">
      <c r="A35">
        <v>61</v>
      </c>
      <c r="B35" t="s">
        <v>10</v>
      </c>
      <c r="C35" t="s">
        <v>80</v>
      </c>
      <c r="D35">
        <v>62.3</v>
      </c>
      <c r="E35">
        <v>114</v>
      </c>
      <c r="F35">
        <v>67.5</v>
      </c>
      <c r="G35">
        <v>69</v>
      </c>
      <c r="H35">
        <v>244</v>
      </c>
    </row>
    <row r="36" spans="1:8" x14ac:dyDescent="0.35">
      <c r="A36">
        <v>62</v>
      </c>
      <c r="B36" t="s">
        <v>12</v>
      </c>
      <c r="C36" t="s">
        <v>81</v>
      </c>
      <c r="D36">
        <v>62.2</v>
      </c>
      <c r="E36">
        <v>128</v>
      </c>
      <c r="F36">
        <v>64.8</v>
      </c>
      <c r="G36">
        <v>99</v>
      </c>
      <c r="H36">
        <v>200</v>
      </c>
    </row>
    <row r="37" spans="1:8" x14ac:dyDescent="0.35">
      <c r="A37">
        <v>63</v>
      </c>
      <c r="B37" t="s">
        <v>7</v>
      </c>
      <c r="C37" t="s">
        <v>82</v>
      </c>
      <c r="D37">
        <v>61.9</v>
      </c>
      <c r="E37">
        <v>103</v>
      </c>
      <c r="F37">
        <v>54.4</v>
      </c>
      <c r="G37">
        <v>70</v>
      </c>
      <c r="H37">
        <v>276</v>
      </c>
    </row>
    <row r="38" spans="1:8" x14ac:dyDescent="0.35">
      <c r="A38">
        <v>64</v>
      </c>
      <c r="B38" t="s">
        <v>16</v>
      </c>
      <c r="C38" t="s">
        <v>83</v>
      </c>
      <c r="D38">
        <v>61.4</v>
      </c>
      <c r="E38">
        <v>149</v>
      </c>
      <c r="F38">
        <v>68.5</v>
      </c>
      <c r="G38">
        <v>133</v>
      </c>
      <c r="H38">
        <v>247</v>
      </c>
    </row>
    <row r="39" spans="1:8" x14ac:dyDescent="0.35">
      <c r="A39">
        <v>65</v>
      </c>
      <c r="B39" t="s">
        <v>22</v>
      </c>
      <c r="C39" t="s">
        <v>84</v>
      </c>
      <c r="D39">
        <v>61.3</v>
      </c>
      <c r="E39">
        <v>124</v>
      </c>
      <c r="F39">
        <v>62</v>
      </c>
      <c r="G39">
        <v>119</v>
      </c>
      <c r="H39">
        <v>278</v>
      </c>
    </row>
    <row r="40" spans="1:8" x14ac:dyDescent="0.35">
      <c r="A40">
        <v>66</v>
      </c>
      <c r="B40" t="s">
        <v>0</v>
      </c>
      <c r="C40" t="s">
        <v>85</v>
      </c>
      <c r="D40">
        <v>61.3</v>
      </c>
      <c r="E40">
        <v>124</v>
      </c>
      <c r="F40">
        <v>59.8</v>
      </c>
      <c r="G40">
        <v>96</v>
      </c>
      <c r="H40">
        <v>316</v>
      </c>
    </row>
    <row r="41" spans="1:8" x14ac:dyDescent="0.35">
      <c r="A41">
        <v>67</v>
      </c>
      <c r="B41" t="s">
        <v>10</v>
      </c>
      <c r="C41" t="s">
        <v>86</v>
      </c>
      <c r="D41">
        <v>61.2</v>
      </c>
      <c r="E41">
        <v>124</v>
      </c>
      <c r="F41">
        <v>64.599999999999994</v>
      </c>
      <c r="G41">
        <v>103</v>
      </c>
      <c r="H41">
        <v>261</v>
      </c>
    </row>
    <row r="42" spans="1:8" x14ac:dyDescent="0.35">
      <c r="A42">
        <v>68</v>
      </c>
      <c r="B42" t="s">
        <v>7</v>
      </c>
      <c r="C42" t="s">
        <v>87</v>
      </c>
      <c r="D42">
        <v>61.2</v>
      </c>
      <c r="E42">
        <v>126</v>
      </c>
      <c r="F42">
        <v>74.599999999999994</v>
      </c>
      <c r="G42">
        <v>79</v>
      </c>
      <c r="H42">
        <v>210</v>
      </c>
    </row>
    <row r="43" spans="1:8" x14ac:dyDescent="0.35">
      <c r="A43">
        <v>69</v>
      </c>
      <c r="B43" t="s">
        <v>10</v>
      </c>
      <c r="C43" t="s">
        <v>88</v>
      </c>
      <c r="D43">
        <v>61.1</v>
      </c>
      <c r="E43">
        <v>109</v>
      </c>
      <c r="F43">
        <v>63.8</v>
      </c>
      <c r="G43">
        <v>67</v>
      </c>
      <c r="H43">
        <v>242</v>
      </c>
    </row>
    <row r="44" spans="1:8" x14ac:dyDescent="0.35">
      <c r="A44">
        <v>70</v>
      </c>
      <c r="B44" t="s">
        <v>0</v>
      </c>
      <c r="C44" t="s">
        <v>89</v>
      </c>
      <c r="D44">
        <v>61</v>
      </c>
      <c r="E44">
        <v>144</v>
      </c>
      <c r="F44">
        <v>67</v>
      </c>
      <c r="G44">
        <v>111</v>
      </c>
      <c r="H44">
        <v>248</v>
      </c>
    </row>
    <row r="45" spans="1:8" x14ac:dyDescent="0.35">
      <c r="A45">
        <v>71</v>
      </c>
      <c r="B45" t="s">
        <v>22</v>
      </c>
      <c r="C45" t="s">
        <v>90</v>
      </c>
      <c r="D45">
        <v>60.9</v>
      </c>
      <c r="E45">
        <v>140</v>
      </c>
      <c r="F45">
        <v>61.6</v>
      </c>
      <c r="G45">
        <v>121</v>
      </c>
      <c r="H45">
        <v>286</v>
      </c>
    </row>
    <row r="46" spans="1:8" x14ac:dyDescent="0.35">
      <c r="A46">
        <v>72</v>
      </c>
      <c r="B46" t="s">
        <v>10</v>
      </c>
      <c r="C46" t="s">
        <v>91</v>
      </c>
      <c r="D46">
        <v>60.8</v>
      </c>
      <c r="E46">
        <v>126</v>
      </c>
      <c r="F46">
        <v>66.3</v>
      </c>
      <c r="G46">
        <v>113</v>
      </c>
      <c r="H46">
        <v>295</v>
      </c>
    </row>
    <row r="47" spans="1:8" x14ac:dyDescent="0.35">
      <c r="A47">
        <v>73</v>
      </c>
      <c r="B47" t="s">
        <v>12</v>
      </c>
      <c r="C47" t="s">
        <v>92</v>
      </c>
      <c r="D47">
        <v>60.7</v>
      </c>
      <c r="E47">
        <v>132</v>
      </c>
      <c r="F47">
        <v>63.4</v>
      </c>
      <c r="G47">
        <v>100</v>
      </c>
      <c r="H47">
        <v>268</v>
      </c>
    </row>
    <row r="48" spans="1:8" x14ac:dyDescent="0.35">
      <c r="A48">
        <v>74</v>
      </c>
      <c r="B48" t="s">
        <v>16</v>
      </c>
      <c r="C48" t="s">
        <v>94</v>
      </c>
      <c r="D48">
        <v>60.7</v>
      </c>
      <c r="E48">
        <v>132</v>
      </c>
      <c r="F48">
        <v>68.8</v>
      </c>
      <c r="G48">
        <v>113</v>
      </c>
      <c r="H48">
        <v>259</v>
      </c>
    </row>
    <row r="49" spans="1:8" x14ac:dyDescent="0.35">
      <c r="A49">
        <v>75</v>
      </c>
      <c r="B49" t="s">
        <v>16</v>
      </c>
      <c r="C49" t="s">
        <v>93</v>
      </c>
      <c r="D49">
        <v>60.2</v>
      </c>
      <c r="E49">
        <v>146</v>
      </c>
      <c r="F49">
        <v>60.3</v>
      </c>
      <c r="G49">
        <v>133</v>
      </c>
      <c r="H49">
        <v>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6A5C-38B6-4AB3-919A-E0890061A7D4}">
  <dimension ref="A1:I29"/>
  <sheetViews>
    <sheetView zoomScale="90" zoomScaleNormal="90" workbookViewId="0">
      <selection activeCell="B20" sqref="B20"/>
    </sheetView>
  </sheetViews>
  <sheetFormatPr defaultRowHeight="14.5" x14ac:dyDescent="0.35"/>
  <cols>
    <col min="1" max="1" width="3.90625" customWidth="1"/>
    <col min="2" max="2" width="12.36328125" customWidth="1"/>
    <col min="3" max="3" width="27.453125" customWidth="1"/>
  </cols>
  <sheetData>
    <row r="1" spans="1:9" x14ac:dyDescent="0.35">
      <c r="A1" s="4" t="s">
        <v>153</v>
      </c>
      <c r="B1" s="4" t="s">
        <v>48</v>
      </c>
      <c r="C1" s="4" t="s">
        <v>49</v>
      </c>
      <c r="D1" s="4" t="s">
        <v>2</v>
      </c>
      <c r="E1" s="4" t="s">
        <v>5</v>
      </c>
      <c r="F1" s="4" t="s">
        <v>3</v>
      </c>
      <c r="G1" s="4" t="s">
        <v>4</v>
      </c>
      <c r="H1" s="4" t="s">
        <v>6</v>
      </c>
      <c r="I1" s="4" t="s">
        <v>161</v>
      </c>
    </row>
    <row r="2" spans="1:9" x14ac:dyDescent="0.35">
      <c r="A2">
        <v>1</v>
      </c>
      <c r="B2" t="s">
        <v>7</v>
      </c>
      <c r="C2" t="s">
        <v>15</v>
      </c>
      <c r="D2" s="3">
        <v>80.400000000000006</v>
      </c>
      <c r="E2" s="3">
        <v>142</v>
      </c>
      <c r="F2" s="3">
        <v>80.3</v>
      </c>
      <c r="G2" s="3">
        <v>117</v>
      </c>
      <c r="H2">
        <v>200</v>
      </c>
      <c r="I2">
        <f t="shared" ref="I2:I28" si="0">$D2-$F2</f>
        <v>0.10000000000000853</v>
      </c>
    </row>
    <row r="3" spans="1:9" x14ac:dyDescent="0.35">
      <c r="A3">
        <v>2</v>
      </c>
      <c r="B3" t="s">
        <v>16</v>
      </c>
      <c r="C3" t="s">
        <v>17</v>
      </c>
      <c r="D3" s="3">
        <v>75.900000000000006</v>
      </c>
      <c r="E3" s="3">
        <v>160</v>
      </c>
      <c r="F3" s="3">
        <v>78.400000000000006</v>
      </c>
      <c r="G3">
        <v>108</v>
      </c>
      <c r="H3">
        <v>208</v>
      </c>
      <c r="I3">
        <f t="shared" si="0"/>
        <v>-2.5</v>
      </c>
    </row>
    <row r="4" spans="1:9" x14ac:dyDescent="0.35">
      <c r="A4">
        <v>3</v>
      </c>
      <c r="B4" t="s">
        <v>0</v>
      </c>
      <c r="C4" t="s">
        <v>8</v>
      </c>
      <c r="D4" s="3">
        <v>76.3</v>
      </c>
      <c r="E4">
        <v>106</v>
      </c>
      <c r="F4" s="3">
        <v>77.900000000000006</v>
      </c>
      <c r="G4">
        <v>82</v>
      </c>
      <c r="H4" s="9">
        <v>128</v>
      </c>
      <c r="I4">
        <f t="shared" si="0"/>
        <v>-1.6000000000000085</v>
      </c>
    </row>
    <row r="5" spans="1:9" x14ac:dyDescent="0.35">
      <c r="A5">
        <v>4</v>
      </c>
      <c r="B5" t="s">
        <v>7</v>
      </c>
      <c r="C5" t="s">
        <v>14</v>
      </c>
      <c r="D5" s="3">
        <v>76.2</v>
      </c>
      <c r="E5">
        <v>119</v>
      </c>
      <c r="F5" s="3">
        <v>77.3</v>
      </c>
      <c r="G5">
        <v>68</v>
      </c>
      <c r="H5" s="9">
        <v>176</v>
      </c>
      <c r="I5">
        <f t="shared" si="0"/>
        <v>-1.0999999999999943</v>
      </c>
    </row>
    <row r="6" spans="1:9" x14ac:dyDescent="0.35">
      <c r="A6">
        <v>5</v>
      </c>
      <c r="B6" s="2" t="s">
        <v>12</v>
      </c>
      <c r="C6" s="2" t="s">
        <v>13</v>
      </c>
      <c r="D6" s="3">
        <v>77.099999999999994</v>
      </c>
      <c r="E6" s="3">
        <v>147</v>
      </c>
      <c r="F6" s="3">
        <v>76.3</v>
      </c>
      <c r="G6" s="3">
        <v>124</v>
      </c>
      <c r="H6">
        <v>204</v>
      </c>
      <c r="I6">
        <f t="shared" si="0"/>
        <v>0.79999999999999716</v>
      </c>
    </row>
    <row r="7" spans="1:9" x14ac:dyDescent="0.35">
      <c r="A7">
        <v>6</v>
      </c>
      <c r="B7" t="s">
        <v>0</v>
      </c>
      <c r="C7" t="s">
        <v>19</v>
      </c>
      <c r="D7">
        <v>75</v>
      </c>
      <c r="E7">
        <v>131</v>
      </c>
      <c r="F7" s="3">
        <v>75.900000000000006</v>
      </c>
      <c r="G7">
        <v>89</v>
      </c>
      <c r="H7">
        <v>190</v>
      </c>
      <c r="I7">
        <f t="shared" si="0"/>
        <v>-0.90000000000000568</v>
      </c>
    </row>
    <row r="8" spans="1:9" x14ac:dyDescent="0.35">
      <c r="A8">
        <v>7</v>
      </c>
      <c r="B8" t="s">
        <v>10</v>
      </c>
      <c r="C8" t="s">
        <v>18</v>
      </c>
      <c r="D8" s="3">
        <v>75.2</v>
      </c>
      <c r="E8">
        <v>132</v>
      </c>
      <c r="F8" s="3">
        <v>75.8</v>
      </c>
      <c r="G8">
        <v>97</v>
      </c>
      <c r="H8">
        <v>200</v>
      </c>
      <c r="I8">
        <f t="shared" si="0"/>
        <v>-0.59999999999999432</v>
      </c>
    </row>
    <row r="9" spans="1:9" x14ac:dyDescent="0.35">
      <c r="A9">
        <v>8</v>
      </c>
      <c r="B9" t="s">
        <v>22</v>
      </c>
      <c r="C9" t="s">
        <v>23</v>
      </c>
      <c r="D9">
        <v>74.5</v>
      </c>
      <c r="E9">
        <v>131</v>
      </c>
      <c r="F9" s="3">
        <v>75.5</v>
      </c>
      <c r="G9">
        <v>96</v>
      </c>
      <c r="H9">
        <v>225</v>
      </c>
      <c r="I9">
        <f t="shared" si="0"/>
        <v>-1</v>
      </c>
    </row>
    <row r="10" spans="1:9" x14ac:dyDescent="0.35">
      <c r="A10">
        <v>9</v>
      </c>
      <c r="B10" t="s">
        <v>16</v>
      </c>
      <c r="C10" t="s">
        <v>24</v>
      </c>
      <c r="D10">
        <v>74.400000000000006</v>
      </c>
      <c r="E10" s="3">
        <v>147</v>
      </c>
      <c r="F10" s="3">
        <v>75.3</v>
      </c>
      <c r="G10" s="3">
        <v>119</v>
      </c>
      <c r="H10">
        <v>249</v>
      </c>
      <c r="I10">
        <f t="shared" si="0"/>
        <v>-0.89999999999999147</v>
      </c>
    </row>
    <row r="11" spans="1:9" x14ac:dyDescent="0.35">
      <c r="A11">
        <v>10</v>
      </c>
      <c r="B11" t="s">
        <v>7</v>
      </c>
      <c r="C11" t="s">
        <v>20</v>
      </c>
      <c r="D11">
        <v>75</v>
      </c>
      <c r="E11">
        <v>136</v>
      </c>
      <c r="F11" s="3">
        <v>75.099999999999994</v>
      </c>
      <c r="G11" s="3">
        <v>120</v>
      </c>
      <c r="H11">
        <v>218</v>
      </c>
      <c r="I11">
        <f t="shared" si="0"/>
        <v>-9.9999999999994316E-2</v>
      </c>
    </row>
    <row r="12" spans="1:9" x14ac:dyDescent="0.35">
      <c r="A12">
        <v>11</v>
      </c>
      <c r="B12" t="s">
        <v>0</v>
      </c>
      <c r="C12" t="s">
        <v>1</v>
      </c>
      <c r="D12" s="3">
        <v>78.099999999999994</v>
      </c>
      <c r="E12">
        <v>137</v>
      </c>
      <c r="F12">
        <v>74.5</v>
      </c>
      <c r="G12">
        <v>94</v>
      </c>
      <c r="H12">
        <v>166</v>
      </c>
      <c r="I12">
        <f t="shared" si="0"/>
        <v>3.5999999999999943</v>
      </c>
    </row>
    <row r="13" spans="1:9" x14ac:dyDescent="0.35">
      <c r="A13">
        <v>12</v>
      </c>
      <c r="B13" t="s">
        <v>7</v>
      </c>
      <c r="C13" t="s">
        <v>31</v>
      </c>
      <c r="D13">
        <v>72.5</v>
      </c>
      <c r="E13" s="3">
        <v>148</v>
      </c>
      <c r="F13">
        <v>74.400000000000006</v>
      </c>
      <c r="G13" s="3">
        <v>127</v>
      </c>
      <c r="H13">
        <v>305</v>
      </c>
      <c r="I13">
        <f t="shared" si="0"/>
        <v>-1.9000000000000057</v>
      </c>
    </row>
    <row r="14" spans="1:9" x14ac:dyDescent="0.35">
      <c r="A14">
        <v>13</v>
      </c>
      <c r="B14" t="s">
        <v>27</v>
      </c>
      <c r="C14" t="s">
        <v>41</v>
      </c>
      <c r="D14">
        <v>70.099999999999994</v>
      </c>
      <c r="E14">
        <v>130</v>
      </c>
      <c r="F14">
        <v>74.400000000000006</v>
      </c>
      <c r="G14">
        <v>102</v>
      </c>
      <c r="H14">
        <v>205</v>
      </c>
      <c r="I14">
        <f t="shared" si="0"/>
        <v>-4.3000000000000114</v>
      </c>
    </row>
    <row r="15" spans="1:9" x14ac:dyDescent="0.35">
      <c r="A15">
        <v>14</v>
      </c>
      <c r="B15" t="s">
        <v>0</v>
      </c>
      <c r="C15" t="s">
        <v>9</v>
      </c>
      <c r="D15" s="3">
        <v>78.2</v>
      </c>
      <c r="E15">
        <v>124</v>
      </c>
      <c r="F15">
        <v>74</v>
      </c>
      <c r="G15">
        <v>76</v>
      </c>
      <c r="H15" s="9">
        <v>171</v>
      </c>
      <c r="I15">
        <f t="shared" si="0"/>
        <v>4.2000000000000028</v>
      </c>
    </row>
    <row r="16" spans="1:9" x14ac:dyDescent="0.35">
      <c r="A16">
        <v>15</v>
      </c>
      <c r="B16" t="s">
        <v>0</v>
      </c>
      <c r="C16" t="s">
        <v>21</v>
      </c>
      <c r="D16">
        <v>74.900000000000006</v>
      </c>
      <c r="E16" s="3">
        <v>144</v>
      </c>
      <c r="F16">
        <v>73.900000000000006</v>
      </c>
      <c r="G16" s="3">
        <v>113</v>
      </c>
      <c r="H16">
        <v>201</v>
      </c>
      <c r="I16">
        <f t="shared" si="0"/>
        <v>1</v>
      </c>
    </row>
    <row r="17" spans="1:9" x14ac:dyDescent="0.35">
      <c r="A17">
        <v>16</v>
      </c>
      <c r="B17" t="s">
        <v>7</v>
      </c>
      <c r="C17" t="s">
        <v>26</v>
      </c>
      <c r="D17">
        <v>74.3</v>
      </c>
      <c r="E17" s="3">
        <v>147</v>
      </c>
      <c r="F17">
        <v>73.5</v>
      </c>
      <c r="G17" s="3">
        <v>126</v>
      </c>
      <c r="H17">
        <v>223</v>
      </c>
      <c r="I17">
        <f t="shared" si="0"/>
        <v>0.79999999999999716</v>
      </c>
    </row>
    <row r="18" spans="1:9" x14ac:dyDescent="0.35">
      <c r="A18">
        <v>17</v>
      </c>
      <c r="B18" t="s">
        <v>16</v>
      </c>
      <c r="C18" t="s">
        <v>25</v>
      </c>
      <c r="D18">
        <v>74.2</v>
      </c>
      <c r="E18" s="3">
        <v>141</v>
      </c>
      <c r="F18">
        <v>73.5</v>
      </c>
      <c r="G18" s="3">
        <v>112</v>
      </c>
      <c r="H18">
        <v>218</v>
      </c>
      <c r="I18">
        <f t="shared" si="0"/>
        <v>0.70000000000000284</v>
      </c>
    </row>
    <row r="19" spans="1:9" x14ac:dyDescent="0.35">
      <c r="A19">
        <v>18</v>
      </c>
      <c r="B19" t="s">
        <v>22</v>
      </c>
      <c r="C19" t="s">
        <v>34</v>
      </c>
      <c r="D19">
        <v>72</v>
      </c>
      <c r="E19">
        <v>135</v>
      </c>
      <c r="F19">
        <v>73.400000000000006</v>
      </c>
      <c r="G19">
        <v>110</v>
      </c>
      <c r="H19">
        <v>237</v>
      </c>
      <c r="I19">
        <f t="shared" si="0"/>
        <v>-1.4000000000000057</v>
      </c>
    </row>
    <row r="20" spans="1:9" x14ac:dyDescent="0.35">
      <c r="A20">
        <v>19</v>
      </c>
      <c r="B20" t="s">
        <v>7</v>
      </c>
      <c r="C20" t="s">
        <v>36</v>
      </c>
      <c r="D20">
        <v>71.8</v>
      </c>
      <c r="E20">
        <v>131</v>
      </c>
      <c r="F20">
        <v>73.400000000000006</v>
      </c>
      <c r="G20">
        <v>89</v>
      </c>
      <c r="H20">
        <v>200</v>
      </c>
      <c r="I20">
        <f t="shared" si="0"/>
        <v>-1.6000000000000085</v>
      </c>
    </row>
    <row r="21" spans="1:9" x14ac:dyDescent="0.35">
      <c r="A21">
        <v>20</v>
      </c>
      <c r="B21" t="s">
        <v>32</v>
      </c>
      <c r="C21" t="s">
        <v>33</v>
      </c>
      <c r="D21">
        <v>72.3</v>
      </c>
      <c r="E21">
        <v>133</v>
      </c>
      <c r="F21">
        <v>73.3</v>
      </c>
      <c r="G21" s="3">
        <v>119</v>
      </c>
      <c r="H21">
        <v>257</v>
      </c>
      <c r="I21">
        <f t="shared" si="0"/>
        <v>-1</v>
      </c>
    </row>
    <row r="22" spans="1:9" x14ac:dyDescent="0.35">
      <c r="A22">
        <v>21</v>
      </c>
      <c r="B22" t="s">
        <v>10</v>
      </c>
      <c r="C22" t="s">
        <v>11</v>
      </c>
      <c r="D22" s="3">
        <v>77.3</v>
      </c>
      <c r="E22" s="3">
        <v>146</v>
      </c>
      <c r="F22">
        <v>72.7</v>
      </c>
      <c r="G22" s="3">
        <v>114</v>
      </c>
      <c r="H22">
        <v>232</v>
      </c>
      <c r="I22">
        <f t="shared" si="0"/>
        <v>4.5999999999999943</v>
      </c>
    </row>
    <row r="23" spans="1:9" x14ac:dyDescent="0.35">
      <c r="A23">
        <v>22</v>
      </c>
      <c r="B23" t="s">
        <v>7</v>
      </c>
      <c r="C23" t="s">
        <v>35</v>
      </c>
      <c r="D23">
        <v>72</v>
      </c>
      <c r="E23">
        <v>121</v>
      </c>
      <c r="F23">
        <v>71.5</v>
      </c>
      <c r="G23">
        <v>95</v>
      </c>
      <c r="H23">
        <v>293</v>
      </c>
      <c r="I23">
        <f t="shared" si="0"/>
        <v>0.5</v>
      </c>
    </row>
    <row r="24" spans="1:9" x14ac:dyDescent="0.35">
      <c r="A24">
        <v>23</v>
      </c>
      <c r="B24" t="s">
        <v>22</v>
      </c>
      <c r="C24" t="s">
        <v>37</v>
      </c>
      <c r="D24">
        <v>71.7</v>
      </c>
      <c r="E24">
        <v>139</v>
      </c>
      <c r="F24">
        <v>71.5</v>
      </c>
      <c r="G24">
        <v>103</v>
      </c>
      <c r="H24">
        <v>220</v>
      </c>
      <c r="I24">
        <f t="shared" si="0"/>
        <v>0.20000000000000284</v>
      </c>
    </row>
    <row r="25" spans="1:9" x14ac:dyDescent="0.35">
      <c r="A25">
        <v>24</v>
      </c>
      <c r="B25" t="s">
        <v>29</v>
      </c>
      <c r="C25" t="s">
        <v>30</v>
      </c>
      <c r="D25">
        <v>72.8</v>
      </c>
      <c r="E25">
        <v>133</v>
      </c>
      <c r="F25">
        <v>71.400000000000006</v>
      </c>
      <c r="G25">
        <v>108</v>
      </c>
      <c r="H25">
        <v>225</v>
      </c>
      <c r="I25">
        <f t="shared" si="0"/>
        <v>1.3999999999999915</v>
      </c>
    </row>
    <row r="26" spans="1:9" x14ac:dyDescent="0.35">
      <c r="A26">
        <v>25</v>
      </c>
      <c r="B26" t="s">
        <v>27</v>
      </c>
      <c r="C26" t="s">
        <v>28</v>
      </c>
      <c r="D26">
        <v>73.2</v>
      </c>
      <c r="E26">
        <v>137</v>
      </c>
      <c r="F26">
        <v>70.7</v>
      </c>
      <c r="G26" s="3">
        <v>120</v>
      </c>
      <c r="H26" s="9">
        <v>183</v>
      </c>
      <c r="I26">
        <f t="shared" si="0"/>
        <v>2.5</v>
      </c>
    </row>
    <row r="27" spans="1:9" x14ac:dyDescent="0.35">
      <c r="A27">
        <v>26</v>
      </c>
      <c r="B27" t="s">
        <v>7</v>
      </c>
      <c r="C27" t="s">
        <v>40</v>
      </c>
      <c r="D27">
        <v>71.2</v>
      </c>
      <c r="E27">
        <v>121</v>
      </c>
      <c r="F27">
        <v>70.2</v>
      </c>
      <c r="G27">
        <v>92</v>
      </c>
      <c r="H27">
        <v>278</v>
      </c>
      <c r="I27">
        <f t="shared" si="0"/>
        <v>1</v>
      </c>
    </row>
    <row r="28" spans="1:9" x14ac:dyDescent="0.35">
      <c r="A28">
        <v>27</v>
      </c>
      <c r="B28" t="s">
        <v>38</v>
      </c>
      <c r="C28" t="s">
        <v>39</v>
      </c>
      <c r="D28">
        <v>71.7</v>
      </c>
      <c r="E28" s="3">
        <v>158</v>
      </c>
      <c r="F28" s="1">
        <v>67.7</v>
      </c>
      <c r="G28" s="3">
        <v>129</v>
      </c>
      <c r="H28">
        <v>234</v>
      </c>
      <c r="I28">
        <f t="shared" si="0"/>
        <v>4</v>
      </c>
    </row>
    <row r="29" spans="1:9" x14ac:dyDescent="0.35">
      <c r="D29" s="7">
        <f t="shared" ref="D29:F29" si="1">MAX(D$2:D$28)</f>
        <v>80.400000000000006</v>
      </c>
      <c r="E29" s="7">
        <f t="shared" si="1"/>
        <v>160</v>
      </c>
      <c r="F29" s="7">
        <f t="shared" si="1"/>
        <v>80.3</v>
      </c>
      <c r="G29" s="7">
        <f>MAX(G$2:G$28)</f>
        <v>129</v>
      </c>
      <c r="H29" s="8">
        <f>MIN(H$2:H$28)</f>
        <v>128</v>
      </c>
      <c r="I29" s="8">
        <f>MIN(I$2:I$28)</f>
        <v>-4.3000000000000114</v>
      </c>
    </row>
  </sheetData>
  <sortState xmlns:xlrd2="http://schemas.microsoft.com/office/spreadsheetml/2017/richdata2" ref="B2:I28">
    <sortCondition descending="1" ref="F2:F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INTERESTED</vt:lpstr>
      <vt:lpstr>MEGABLAST</vt:lpstr>
      <vt:lpstr>DAILY</vt:lpstr>
      <vt:lpstr>MAXIMALIST</vt:lpstr>
      <vt:lpstr>SUPER</vt:lpstr>
      <vt:lpstr>TOP5TRAINER</vt:lpstr>
      <vt:lpstr>HYPED</vt:lpstr>
      <vt:lpstr>RACERS</vt:lpstr>
      <vt:lpstr>HOKA</vt:lpstr>
      <vt:lpstr>PUMA</vt:lpstr>
      <vt:lpstr>60&gt;HER&gt;55</vt:lpstr>
      <vt:lpstr>70&gt;HER&gt;60</vt:lpstr>
      <vt:lpstr>HER&gt;70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Esa Ubadi Taqwa</dc:creator>
  <cp:lastModifiedBy>Esa Ubadi Taqwa</cp:lastModifiedBy>
  <dcterms:created xsi:type="dcterms:W3CDTF">2025-07-08T13:46:09Z</dcterms:created>
  <dcterms:modified xsi:type="dcterms:W3CDTF">2026-05-30T05:51:30Z</dcterms:modified>
</cp:coreProperties>
</file>